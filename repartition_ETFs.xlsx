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ill\Claude\Projects\dashboard financier\"/>
    </mc:Choice>
  </mc:AlternateContent>
  <xr:revisionPtr revIDLastSave="0" documentId="8_{BA6E8150-F479-414B-8F39-888B5E6B97A0}" xr6:coauthVersionLast="47" xr6:coauthVersionMax="47" xr10:uidLastSave="{00000000-0000-0000-0000-000000000000}"/>
  <bookViews>
    <workbookView xWindow="19090" yWindow="-10820" windowWidth="38620" windowHeight="21100" xr2:uid="{00000000-000D-0000-FFFF-FFFF00000000}"/>
  </bookViews>
  <sheets>
    <sheet name="by country" sheetId="1" r:id="rId1"/>
    <sheet name="by sector" sheetId="2" r:id="rId2"/>
    <sheet name="TOP 10 position" sheetId="3" r:id="rId3"/>
  </sheets>
  <externalReferences>
    <externalReference r:id="rId4"/>
  </externalReferences>
  <definedNames>
    <definedName name="_xlnm._FilterDatabase" localSheetId="0" hidden="1">'by country'!$A$1:$AL$207</definedName>
    <definedName name="_xlnm._FilterDatabase" localSheetId="1" hidden="1">'by sector'!$A$1:$P$212</definedName>
    <definedName name="_xlnm._FilterDatabase" localSheetId="2" hidden="1">'TOP 10 position'!$A$3:$N$89</definedName>
    <definedName name="_xlcn.WorksheetConnection_SummaryInvestP12BG601" localSheetId="1" hidden="1">'by sector'!$A$1:$C$12</definedName>
    <definedName name="_xlcn.WorksheetConnection_SummaryInvestP12BG601" hidden="1">'by country'!$A$1:$AL$12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1" i="2"/>
  <c r="A10" i="2"/>
  <c r="A9" i="2"/>
  <c r="A8" i="2"/>
  <c r="A7" i="2"/>
  <c r="A6" i="2"/>
  <c r="A5" i="2"/>
  <c r="A4" i="2"/>
  <c r="A3" i="2"/>
  <c r="A2" i="2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<sst xmlns="http://schemas.openxmlformats.org/spreadsheetml/2006/main" count="228" uniqueCount="163">
  <si>
    <t>LU2009202107</t>
  </si>
  <si>
    <t>LU1900066033</t>
  </si>
  <si>
    <t>IE00053WDH64</t>
  </si>
  <si>
    <t>IE00B1XNHC34</t>
  </si>
  <si>
    <t>IE00BMG6Z448</t>
  </si>
  <si>
    <t>IE00BMTX1Y45</t>
  </si>
  <si>
    <t>IE000YU9K6K2</t>
  </si>
  <si>
    <t>IE000M7V94E1</t>
  </si>
  <si>
    <t>IE00BK5BR626</t>
  </si>
  <si>
    <t>LU0476289466</t>
  </si>
  <si>
    <t>IE00BJ0KDQ92</t>
  </si>
  <si>
    <t>IE000U58J0M1</t>
  </si>
  <si>
    <t>IE000BI8OT95</t>
  </si>
  <si>
    <t>AbbVie, Inc.</t>
  </si>
  <si>
    <t>Alphabet, Inc. A</t>
  </si>
  <si>
    <t>Alphabet, Inc. C</t>
  </si>
  <si>
    <t>Amazon.com, Inc.</t>
  </si>
  <si>
    <t>AMD</t>
  </si>
  <si>
    <t>America Movil SAB de CV</t>
  </si>
  <si>
    <t>Apple</t>
  </si>
  <si>
    <t>Applied Materials, Inc.</t>
  </si>
  <si>
    <t>Arca Continental</t>
  </si>
  <si>
    <t>ASML Holding NV</t>
  </si>
  <si>
    <t>AST Spacemobile</t>
  </si>
  <si>
    <t>Atkinsrealis Group</t>
  </si>
  <si>
    <t>Ballard Power Systems, Inc.</t>
  </si>
  <si>
    <t>Berkshire Hathaway, Inc.</t>
  </si>
  <si>
    <t>Bloom Energy</t>
  </si>
  <si>
    <t>Broadcom Inc.</t>
  </si>
  <si>
    <t>Cameco</t>
  </si>
  <si>
    <t>CEMEX SAB de CV</t>
  </si>
  <si>
    <t>Ceres Power Holdings</t>
  </si>
  <si>
    <t>Chevron Corp.</t>
  </si>
  <si>
    <t>China Yangtze Power</t>
  </si>
  <si>
    <t>Cisco Systems, Inc.</t>
  </si>
  <si>
    <t>Delta Electronics, Inc.</t>
  </si>
  <si>
    <t>EchoStar Corp</t>
  </si>
  <si>
    <t>EDP SA</t>
  </si>
  <si>
    <t>Eli Lilly &amp; Co.</t>
  </si>
  <si>
    <t>Enphase Energy</t>
  </si>
  <si>
    <t>Equatorial SA</t>
  </si>
  <si>
    <t>Exxon Mobil Corp.</t>
  </si>
  <si>
    <t>Firefly Aerospace</t>
  </si>
  <si>
    <t>First Solar</t>
  </si>
  <si>
    <t>Fomento Economico Mexicano</t>
  </si>
  <si>
    <t>Fuji Electric Co., Ltd.</t>
  </si>
  <si>
    <t>Globalstar</t>
  </si>
  <si>
    <t>Grupo Aeroportuario del Pacifico</t>
  </si>
  <si>
    <t>Grupo Aeroportuario del Sureste</t>
  </si>
  <si>
    <t>Grupo Financiero Banorte</t>
  </si>
  <si>
    <t>Grupo México S.A.B. de C.V.</t>
  </si>
  <si>
    <t>HDFC Bank Ltd.</t>
  </si>
  <si>
    <t>Hitachi Ltd.</t>
  </si>
  <si>
    <t>Hon Hai Precision Industry Co., Ltd.</t>
  </si>
  <si>
    <t>HSBC Holdings Plc</t>
  </si>
  <si>
    <t>ICICI Bank Ltd.</t>
  </si>
  <si>
    <t>Industrias Penoles</t>
  </si>
  <si>
    <t>Intel Corp.</t>
  </si>
  <si>
    <t>Intuitive Machines</t>
  </si>
  <si>
    <t>Iridium Communications</t>
  </si>
  <si>
    <t>ITM Power</t>
  </si>
  <si>
    <t>Jacobs Solutions</t>
  </si>
  <si>
    <t>Johnson &amp; Johnson</t>
  </si>
  <si>
    <t>JPMorgan Chase &amp; Co.</t>
  </si>
  <si>
    <t>Lam Research</t>
  </si>
  <si>
    <t>MediaTek, Inc.</t>
  </si>
  <si>
    <t>Meta Platforms</t>
  </si>
  <si>
    <t>Micron Technology</t>
  </si>
  <si>
    <t>Microsoft</t>
  </si>
  <si>
    <t>Mitsubishi Heavy Industries, Ltd.</t>
  </si>
  <si>
    <t>NexGen Energy Ltd.</t>
  </si>
  <si>
    <t>Nextpower</t>
  </si>
  <si>
    <t>NVIDIA Corp.</t>
  </si>
  <si>
    <t>Oklo</t>
  </si>
  <si>
    <t>others</t>
  </si>
  <si>
    <t>Plug Power</t>
  </si>
  <si>
    <t>Procter &amp; Gamble Co.</t>
  </si>
  <si>
    <t>Reliance Industries Ltd.</t>
  </si>
  <si>
    <t>Rocket Lab Corp</t>
  </si>
  <si>
    <t>Samsung C&amp;T Corp.</t>
  </si>
  <si>
    <t>Samsung Electronics Co., Ltd.</t>
  </si>
  <si>
    <t>Samsung Electronics Co., Ltd. (Pref)</t>
  </si>
  <si>
    <t>SK hynix, Inc.</t>
  </si>
  <si>
    <t>SKY Perfect JSAT Corp.</t>
  </si>
  <si>
    <t>SMA Solar Technology</t>
  </si>
  <si>
    <t>Sprott Physical Uranium</t>
  </si>
  <si>
    <t>Suzlon Energy</t>
  </si>
  <si>
    <t>Taiwan Semiconductor Manufacturing Co., Ltd.</t>
  </si>
  <si>
    <t>Taiyo Yuden Co., Ltd.</t>
  </si>
  <si>
    <t>Tesla</t>
  </si>
  <si>
    <t>The Home Depot</t>
  </si>
  <si>
    <t>UnitedHealth Group</t>
  </si>
  <si>
    <t>Verbio SE</t>
  </si>
  <si>
    <t>Vestas Wind Systems A/S</t>
  </si>
  <si>
    <t>ViaSat</t>
  </si>
  <si>
    <t>Wal-Mart de Mexico</t>
  </si>
  <si>
    <t>Nom</t>
  </si>
  <si>
    <t>ISIN</t>
  </si>
  <si>
    <t>ticker</t>
  </si>
  <si>
    <t>United States</t>
  </si>
  <si>
    <t>Canada</t>
  </si>
  <si>
    <t>China</t>
  </si>
  <si>
    <t>Ireland</t>
  </si>
  <si>
    <t>Germany</t>
  </si>
  <si>
    <t>United Kingdom</t>
  </si>
  <si>
    <t>Italy</t>
  </si>
  <si>
    <t>Portugal</t>
  </si>
  <si>
    <t>France</t>
  </si>
  <si>
    <t>Jersey</t>
  </si>
  <si>
    <t>Norway</t>
  </si>
  <si>
    <t>Belgium</t>
  </si>
  <si>
    <t>Switzerland</t>
  </si>
  <si>
    <t>Spain</t>
  </si>
  <si>
    <t>Denmark</t>
  </si>
  <si>
    <t>Sweden</t>
  </si>
  <si>
    <t>Poland</t>
  </si>
  <si>
    <t>Netherlands</t>
  </si>
  <si>
    <t>India</t>
  </si>
  <si>
    <t>Australia</t>
  </si>
  <si>
    <t>Taiwan</t>
  </si>
  <si>
    <t>South Korea</t>
  </si>
  <si>
    <t>Hong Kong</t>
  </si>
  <si>
    <t>Japan</t>
  </si>
  <si>
    <t>Malaysia</t>
  </si>
  <si>
    <t>Indonesia</t>
  </si>
  <si>
    <t>Thailand</t>
  </si>
  <si>
    <t>Brazil</t>
  </si>
  <si>
    <t>Mexico</t>
  </si>
  <si>
    <t>South Africa</t>
  </si>
  <si>
    <t>Israel</t>
  </si>
  <si>
    <t>Saudi Arabia</t>
  </si>
  <si>
    <t>United Arab Emirates</t>
  </si>
  <si>
    <t>EMXC.DE</t>
  </si>
  <si>
    <t>LSMC.DE</t>
  </si>
  <si>
    <t>HYDE.DE</t>
  </si>
  <si>
    <t>IQQH.DE</t>
  </si>
  <si>
    <t>MTPI.PA</t>
  </si>
  <si>
    <t>I500.DE</t>
  </si>
  <si>
    <t>JEDI.DE</t>
  </si>
  <si>
    <t>NUKL.DE</t>
  </si>
  <si>
    <t>VGWE.DE</t>
  </si>
  <si>
    <t>D5BI.DE</t>
  </si>
  <si>
    <t>XDWD.DE</t>
  </si>
  <si>
    <t>iShares Global Clean Energy Transition acc</t>
  </si>
  <si>
    <t>MWRE.DE</t>
  </si>
  <si>
    <t>Amundi Core MSCI World</t>
  </si>
  <si>
    <t>Q8Y0.DE</t>
  </si>
  <si>
    <t>Technology</t>
  </si>
  <si>
    <t>Industry</t>
  </si>
  <si>
    <t>Materials</t>
  </si>
  <si>
    <t>Energy</t>
  </si>
  <si>
    <t>Telecommunication</t>
  </si>
  <si>
    <t>Health</t>
  </si>
  <si>
    <t>Banking</t>
  </si>
  <si>
    <t>Cyclical</t>
  </si>
  <si>
    <t>Non-Cyclical</t>
  </si>
  <si>
    <t>Real Estate</t>
  </si>
  <si>
    <t>Utilities</t>
  </si>
  <si>
    <t>Others</t>
  </si>
  <si>
    <t>ticker alternatif</t>
  </si>
  <si>
    <t>VUSA.DE</t>
  </si>
  <si>
    <t>TICKER</t>
  </si>
  <si>
    <t>TICKER ALTERNATIF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</si>
</sst>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/>
    <xf numFmtId="0" fontId="1" fillId="0" borderId="0"/>
  </cellStyleXfs>
  <cellXfs count="17">
    <xf numFmtId="0" fontId="0" fillId="0" borderId="0" xfId="0"/>
    <xf numFmtId="3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0" fontId="3" fillId="0" borderId="1" xfId="0" applyFont="1" applyBorder="1"/>
    <xf numFmtId="164" fontId="0" fillId="0" borderId="1" xfId="0" applyNumberFormat="1" applyBorder="1"/>
    <xf numFmtId="0" fontId="0" fillId="2" borderId="1" xfId="0" applyFill="1" applyBorder="1"/>
    <xf numFmtId="10" fontId="0" fillId="0" borderId="1" xfId="0" applyNumberFormat="1" applyBorder="1"/>
    <xf numFmtId="4" fontId="0" fillId="0" borderId="1" xfId="0" applyNumberFormat="1" applyBorder="1"/>
    <xf numFmtId="9" fontId="0" fillId="0" borderId="1" xfId="1" applyFont="1" applyBorder="1"/>
    <xf numFmtId="10" fontId="0" fillId="0" borderId="0" xfId="0" applyNumberFormat="1"/>
    <xf numFmtId="0" fontId="0" fillId="0" borderId="2" xfId="0" applyBorder="1"/>
    <xf numFmtId="4" fontId="0" fillId="0" borderId="1" xfId="0" applyNumberFormat="1" applyFill="1" applyBorder="1"/>
    <xf numFmtId="0" fontId="0" fillId="0" borderId="1" xfId="0" applyFill="1" applyBorder="1"/>
    <xf numFmtId="0" fontId="3" fillId="0" borderId="1" xfId="0" applyFont="1" applyFill="1" applyBorder="1"/>
    <xf numFmtId="0" fontId="0" fillId="3" borderId="1" xfId="0" applyFill="1" applyBorder="1"/>
    <xf numFmtId="0" fontId="0" fillId="0" borderId="0" xfId="0" applyBorder="1"/>
  </cellXfs>
  <cellStyles count="3">
    <cellStyle name="Normal" xfId="0" builtinId="0"/>
    <cellStyle name="Normal 2" xfId="2" xr:uid="{00000000-0005-0000-0000-00000200000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elle"/>
      <sheetName val="Sebastien"/>
      <sheetName val="Corentin"/>
      <sheetName val="Leandre"/>
      <sheetName val="Summary LINXEA"/>
      <sheetName val="2025 taxes"/>
      <sheetName val="2026 taxes"/>
      <sheetName val="Pivot"/>
      <sheetName val="Summary Invest"/>
      <sheetName val="Summary Stock ETF CRYPTO"/>
      <sheetName val="Crypto"/>
      <sheetName val="rentabilite"/>
      <sheetName val="NRJ"/>
      <sheetName val="Trading 212  Jito"/>
      <sheetName val="Summary Invest Estelle"/>
      <sheetName val="SAXO estelle"/>
      <sheetName val="KB"/>
      <sheetName val="XTB"/>
      <sheetName val="IBKR"/>
      <sheetName val="SAXO"/>
      <sheetName val="Trading 212"/>
      <sheetName val="conseq"/>
      <sheetName val="finary"/>
      <sheetName val="epargne retraite"/>
      <sheetName val="rachat oct 2023"/>
      <sheetName val="in case of death"/>
      <sheetName val="perf annuelle seb"/>
      <sheetName val="perf annuelle Estelle"/>
      <sheetName val="perf annuelle corentin"/>
      <sheetName val="perf annuelle leandre"/>
      <sheetName val="perf annuelle total"/>
      <sheetName val="update python"/>
    </sheetNames>
    <sheetDataSet>
      <sheetData sheetId="0"/>
      <sheetData sheetId="1">
        <row r="4">
          <cell r="CI4" t="str">
            <v>iShares MSCI ex china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BE6" t="str">
            <v>Amundi MSCI Emerging Ex China</v>
          </cell>
          <cell r="BH6" t="str">
            <v>Xtrackers MSCI World</v>
          </cell>
          <cell r="BK6" t="str">
            <v>Xtrackers MSCI Mexico</v>
          </cell>
          <cell r="CI6" t="str">
            <v>VanEck Uranium and Nuclear Technologies</v>
          </cell>
        </row>
      </sheetData>
      <sheetData sheetId="19">
        <row r="5">
          <cell r="I5" t="str">
            <v>Amundi MSCI Semiconductors</v>
          </cell>
          <cell r="L5" t="str">
            <v>Invesco Hydrogen Economy</v>
          </cell>
          <cell r="U5" t="str">
            <v>iShares Global Clean Energy Transition</v>
          </cell>
          <cell r="AG5" t="str">
            <v>iShares S&amp;P500 Swap</v>
          </cell>
        </row>
      </sheetData>
      <sheetData sheetId="20">
        <row r="5">
          <cell r="AY5" t="str">
            <v>VanEck Space Innovators</v>
          </cell>
          <cell r="BH5" t="str">
            <v>Vanguard FTSE All-World High Dividend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0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5" sqref="H25"/>
    </sheetView>
  </sheetViews>
  <sheetFormatPr defaultRowHeight="14.5" x14ac:dyDescent="0.35"/>
  <cols>
    <col min="1" max="1" width="37.7265625" customWidth="1"/>
    <col min="2" max="2" width="16.81640625" bestFit="1" customWidth="1"/>
    <col min="3" max="4" width="14.81640625" customWidth="1"/>
    <col min="5" max="38" width="9.81640625" customWidth="1"/>
  </cols>
  <sheetData>
    <row r="1" spans="1:38" x14ac:dyDescent="0.35">
      <c r="A1" s="2" t="s">
        <v>96</v>
      </c>
      <c r="B1" s="4" t="s">
        <v>97</v>
      </c>
      <c r="C1" s="4" t="s">
        <v>98</v>
      </c>
      <c r="D1" s="4" t="s">
        <v>159</v>
      </c>
      <c r="E1" s="4" t="s">
        <v>99</v>
      </c>
      <c r="F1" s="5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  <c r="M1" s="4" t="s">
        <v>107</v>
      </c>
      <c r="N1" s="4" t="s">
        <v>108</v>
      </c>
      <c r="O1" s="4" t="s">
        <v>109</v>
      </c>
      <c r="P1" s="4" t="s">
        <v>110</v>
      </c>
      <c r="Q1" s="4" t="s">
        <v>111</v>
      </c>
      <c r="R1" s="4" t="s">
        <v>112</v>
      </c>
      <c r="S1" s="4" t="s">
        <v>113</v>
      </c>
      <c r="T1" s="4" t="s">
        <v>114</v>
      </c>
      <c r="U1" s="4" t="s">
        <v>115</v>
      </c>
      <c r="V1" s="4" t="s">
        <v>116</v>
      </c>
      <c r="W1" s="4" t="s">
        <v>117</v>
      </c>
      <c r="X1" s="4" t="s">
        <v>118</v>
      </c>
      <c r="Y1" s="4" t="s">
        <v>119</v>
      </c>
      <c r="Z1" s="4" t="s">
        <v>120</v>
      </c>
      <c r="AA1" s="4" t="s">
        <v>121</v>
      </c>
      <c r="AB1" s="4" t="s">
        <v>122</v>
      </c>
      <c r="AC1" s="4" t="s">
        <v>123</v>
      </c>
      <c r="AD1" s="4" t="s">
        <v>124</v>
      </c>
      <c r="AE1" s="4" t="s">
        <v>125</v>
      </c>
      <c r="AF1" s="4" t="s">
        <v>126</v>
      </c>
      <c r="AG1" s="4" t="s">
        <v>127</v>
      </c>
      <c r="AH1" s="4" t="s">
        <v>128</v>
      </c>
      <c r="AI1" s="4" t="s">
        <v>129</v>
      </c>
      <c r="AJ1" s="4" t="s">
        <v>130</v>
      </c>
      <c r="AK1" s="4" t="s">
        <v>131</v>
      </c>
      <c r="AL1" s="4" t="s">
        <v>74</v>
      </c>
    </row>
    <row r="2" spans="1:38" x14ac:dyDescent="0.35">
      <c r="A2" s="2" t="str">
        <f>[1]IBKR!BE6</f>
        <v>Amundi MSCI Emerging Ex China</v>
      </c>
      <c r="B2" s="8" t="s">
        <v>0</v>
      </c>
      <c r="C2" s="15" t="s">
        <v>132</v>
      </c>
      <c r="D2" s="15" t="s">
        <v>136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7">
        <v>1.43E-2</v>
      </c>
      <c r="V2" s="7"/>
      <c r="W2" s="7">
        <v>0.14760000000000001</v>
      </c>
      <c r="X2" s="5"/>
      <c r="Y2" s="7">
        <v>0.2969</v>
      </c>
      <c r="Z2" s="7">
        <v>0.20569999999999999</v>
      </c>
      <c r="AA2" s="5"/>
      <c r="AB2" s="5"/>
      <c r="AC2" s="7">
        <v>1.6500000000000001E-2</v>
      </c>
      <c r="AD2" s="7">
        <v>1.11E-2</v>
      </c>
      <c r="AE2" s="7">
        <v>1.34E-2</v>
      </c>
      <c r="AF2" s="7">
        <v>6.1199999999999997E-2</v>
      </c>
      <c r="AG2" s="7">
        <v>2.4799999999999999E-2</v>
      </c>
      <c r="AH2" s="7">
        <v>3.5700000000000003E-2</v>
      </c>
      <c r="AI2" s="7"/>
      <c r="AJ2" s="7">
        <v>4.07E-2</v>
      </c>
      <c r="AK2" s="7">
        <v>1.6400000000000001E-2</v>
      </c>
      <c r="AL2" s="7">
        <v>0.1157</v>
      </c>
    </row>
    <row r="3" spans="1:38" x14ac:dyDescent="0.35">
      <c r="A3" s="2" t="str">
        <f>[1]SAXO!I5</f>
        <v>Amundi MSCI Semiconductors</v>
      </c>
      <c r="B3" s="2" t="s">
        <v>1</v>
      </c>
      <c r="C3" s="2" t="s">
        <v>133</v>
      </c>
      <c r="D3" s="2"/>
      <c r="E3" s="5">
        <v>0.64329999999999998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>
        <v>6.8099999999999994E-2</v>
      </c>
      <c r="W3" s="5"/>
      <c r="X3" s="5"/>
      <c r="Y3" s="5">
        <v>0.17100000000000001</v>
      </c>
      <c r="Z3" s="5">
        <v>3.8100000000000002E-2</v>
      </c>
      <c r="AA3" s="5"/>
      <c r="AB3" s="5">
        <v>3.3599999999999998E-2</v>
      </c>
      <c r="AC3" s="5"/>
      <c r="AD3" s="5"/>
      <c r="AE3" s="5"/>
      <c r="AF3" s="5"/>
      <c r="AG3" s="5"/>
      <c r="AH3" s="5"/>
      <c r="AI3" s="5"/>
      <c r="AJ3" s="5"/>
      <c r="AK3" s="5"/>
      <c r="AL3" s="5">
        <v>4.5900000000000003E-2</v>
      </c>
    </row>
    <row r="4" spans="1:38" x14ac:dyDescent="0.35">
      <c r="A4" s="2" t="str">
        <f>[1]SAXO!L5</f>
        <v>Invesco Hydrogen Economy</v>
      </c>
      <c r="B4" s="4" t="s">
        <v>2</v>
      </c>
      <c r="C4" s="2" t="s">
        <v>134</v>
      </c>
      <c r="D4" s="2"/>
      <c r="E4" s="7">
        <v>9.6300000000000011E-2</v>
      </c>
      <c r="F4" s="7">
        <v>3.6700000000000003E-2</v>
      </c>
      <c r="G4" s="7">
        <v>4.4900000000000002E-2</v>
      </c>
      <c r="H4" s="7"/>
      <c r="I4" s="7">
        <v>0.1239</v>
      </c>
      <c r="J4" s="7">
        <v>6.1600000000000002E-2</v>
      </c>
      <c r="K4" s="7"/>
      <c r="L4" s="7"/>
      <c r="M4" s="7">
        <v>5.5100000000000003E-2</v>
      </c>
      <c r="N4" s="7"/>
      <c r="O4" s="7">
        <v>5.1200000000000002E-2</v>
      </c>
      <c r="P4" s="7">
        <v>4.3400000000000001E-2</v>
      </c>
      <c r="Q4" s="7">
        <v>2.8899999999999999E-2</v>
      </c>
      <c r="R4" s="7">
        <v>1.54E-2</v>
      </c>
      <c r="S4" s="7">
        <v>1.5299999999999999E-2</v>
      </c>
      <c r="T4" s="7">
        <v>1.2999999999999999E-2</v>
      </c>
      <c r="U4" s="5"/>
      <c r="V4" s="7">
        <v>1.3899999999999999E-2</v>
      </c>
      <c r="W4" s="5"/>
      <c r="X4" s="5"/>
      <c r="Y4" s="7">
        <v>4.8300000000000003E-2</v>
      </c>
      <c r="Z4" s="7">
        <v>9.0500000000000011E-2</v>
      </c>
      <c r="AA4" s="5"/>
      <c r="AB4" s="7">
        <v>0.19980000000000001</v>
      </c>
      <c r="AC4" s="5"/>
      <c r="AD4" s="5"/>
      <c r="AE4" s="5"/>
      <c r="AF4" s="5"/>
      <c r="AG4" s="5"/>
      <c r="AH4" s="5"/>
      <c r="AI4" s="5"/>
      <c r="AJ4" s="5"/>
      <c r="AK4" s="5"/>
      <c r="AL4" s="7">
        <v>6.1799999999999987E-2</v>
      </c>
    </row>
    <row r="5" spans="1:38" x14ac:dyDescent="0.35">
      <c r="A5" s="2" t="str">
        <f>[1]SAXO!U5</f>
        <v>iShares Global Clean Energy Transition</v>
      </c>
      <c r="B5" s="2" t="s">
        <v>3</v>
      </c>
      <c r="C5" s="2" t="s">
        <v>135</v>
      </c>
      <c r="D5" s="2"/>
      <c r="E5" s="7">
        <v>0.29749999999999999</v>
      </c>
      <c r="F5" s="7">
        <v>2.06E-2</v>
      </c>
      <c r="G5" s="7">
        <v>0.16650000000000001</v>
      </c>
      <c r="H5" s="7"/>
      <c r="I5" s="7">
        <v>1.4800000000000001E-2</v>
      </c>
      <c r="J5" s="9"/>
      <c r="K5" s="9"/>
      <c r="L5" s="7">
        <v>2.24E-2</v>
      </c>
      <c r="M5" s="9"/>
      <c r="N5" s="9"/>
      <c r="O5" s="9"/>
      <c r="P5" s="9"/>
      <c r="Q5" s="9"/>
      <c r="R5" s="7">
        <v>8.2100000000000006E-2</v>
      </c>
      <c r="S5" s="7">
        <v>4.7699999999999992E-2</v>
      </c>
      <c r="T5" s="9"/>
      <c r="U5" s="9"/>
      <c r="V5" s="9"/>
      <c r="W5" s="7">
        <v>2.6499999999999999E-2</v>
      </c>
      <c r="X5" s="9"/>
      <c r="Y5" s="9"/>
      <c r="Z5" s="7">
        <v>2.2499999999999999E-2</v>
      </c>
      <c r="AA5" s="9"/>
      <c r="AB5" s="7">
        <v>2.2700000000000001E-2</v>
      </c>
      <c r="AC5" s="9"/>
      <c r="AD5" s="9"/>
      <c r="AE5" s="9"/>
      <c r="AF5" s="7">
        <v>8.4900000000000003E-2</v>
      </c>
      <c r="AG5" s="9"/>
      <c r="AH5" s="9"/>
      <c r="AI5" s="7">
        <v>2.6599999999999999E-2</v>
      </c>
      <c r="AJ5" s="9"/>
      <c r="AK5" s="9"/>
      <c r="AL5" s="7">
        <v>0.16520000000000001</v>
      </c>
    </row>
    <row r="6" spans="1:38" x14ac:dyDescent="0.35">
      <c r="A6" s="2" t="str">
        <f>[1]Sebastien!CI4</f>
        <v>iShares MSCI ex china</v>
      </c>
      <c r="B6" s="2" t="s">
        <v>4</v>
      </c>
      <c r="C6" s="2" t="s">
        <v>136</v>
      </c>
      <c r="D6" s="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7">
        <v>1.43E-2</v>
      </c>
      <c r="V6" s="7"/>
      <c r="W6" s="7">
        <v>0.14760000000000001</v>
      </c>
      <c r="X6" s="5"/>
      <c r="Y6" s="7">
        <v>0.2969</v>
      </c>
      <c r="Z6" s="7">
        <v>0.20569999999999999</v>
      </c>
      <c r="AA6" s="5"/>
      <c r="AB6" s="5"/>
      <c r="AC6" s="7">
        <v>1.6500000000000001E-2</v>
      </c>
      <c r="AD6" s="7">
        <v>1.11E-2</v>
      </c>
      <c r="AE6" s="7">
        <v>1.34E-2</v>
      </c>
      <c r="AF6" s="7">
        <v>6.1199999999999997E-2</v>
      </c>
      <c r="AG6" s="7">
        <v>2.4799999999999999E-2</v>
      </c>
      <c r="AH6" s="7">
        <v>3.5700000000000003E-2</v>
      </c>
      <c r="AI6" s="7"/>
      <c r="AJ6" s="7">
        <v>4.07E-2</v>
      </c>
      <c r="AK6" s="7">
        <v>1.6400000000000001E-2</v>
      </c>
      <c r="AL6" s="7">
        <v>0.1157</v>
      </c>
    </row>
    <row r="7" spans="1:38" x14ac:dyDescent="0.35">
      <c r="A7" s="2" t="str">
        <f>[1]SAXO!AG5</f>
        <v>iShares S&amp;P500 Swap</v>
      </c>
      <c r="B7" s="2" t="s">
        <v>5</v>
      </c>
      <c r="C7" s="15" t="s">
        <v>137</v>
      </c>
      <c r="D7" s="15" t="s">
        <v>160</v>
      </c>
      <c r="E7" s="5">
        <v>0.94679999999999997</v>
      </c>
      <c r="F7" s="5"/>
      <c r="G7" s="5"/>
      <c r="H7" s="5">
        <v>1.43E-2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3.8899999999999997E-2</v>
      </c>
    </row>
    <row r="8" spans="1:38" x14ac:dyDescent="0.35">
      <c r="A8" s="2" t="str">
        <f>'[1]Trading 212'!AY5</f>
        <v>VanEck Space Innovators</v>
      </c>
      <c r="B8" s="2" t="s">
        <v>6</v>
      </c>
      <c r="C8" s="2" t="s">
        <v>138</v>
      </c>
      <c r="D8" s="2"/>
      <c r="E8" s="7">
        <v>0.39800000000000002</v>
      </c>
      <c r="F8" s="5"/>
      <c r="G8" s="5"/>
      <c r="H8" s="5"/>
      <c r="I8" s="5"/>
      <c r="J8" s="5"/>
      <c r="K8" s="7">
        <v>2.8299999999999999E-2</v>
      </c>
      <c r="L8" s="5"/>
      <c r="M8" s="7">
        <v>2.0500000000000001E-2</v>
      </c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7">
        <v>4.1399999999999999E-2</v>
      </c>
      <c r="Z8" s="7">
        <v>3.8800000000000001E-2</v>
      </c>
      <c r="AA8" s="5"/>
      <c r="AB8" s="7">
        <v>4.5999999999999999E-2</v>
      </c>
      <c r="AC8" s="5"/>
      <c r="AD8" s="5"/>
      <c r="AE8" s="5"/>
      <c r="AF8" s="5"/>
      <c r="AG8" s="5"/>
      <c r="AH8" s="5"/>
      <c r="AI8" s="7">
        <v>1.6899999999999998E-2</v>
      </c>
      <c r="AJ8" s="5"/>
      <c r="AK8" s="5"/>
      <c r="AL8" s="7">
        <v>0.41010000000000002</v>
      </c>
    </row>
    <row r="9" spans="1:38" x14ac:dyDescent="0.35">
      <c r="A9" s="2" t="str">
        <f>[1]IBKR!CI6</f>
        <v>VanEck Uranium and Nuclear Technologies</v>
      </c>
      <c r="B9" s="2" t="s">
        <v>7</v>
      </c>
      <c r="C9" s="2" t="s">
        <v>139</v>
      </c>
      <c r="D9" s="2"/>
      <c r="E9" s="7">
        <v>0.186</v>
      </c>
      <c r="F9" s="7">
        <v>0.32100000000000001</v>
      </c>
      <c r="G9" s="5"/>
      <c r="H9" s="5"/>
      <c r="I9" s="5"/>
      <c r="J9" s="5"/>
      <c r="K9" s="5"/>
      <c r="L9" s="5"/>
      <c r="M9" s="5"/>
      <c r="N9" s="7">
        <v>1.7100000000000001E-2</v>
      </c>
      <c r="O9" s="5"/>
      <c r="P9" s="5"/>
      <c r="Q9" s="5"/>
      <c r="R9" s="5"/>
      <c r="S9" s="5"/>
      <c r="T9" s="5"/>
      <c r="U9" s="5"/>
      <c r="V9" s="5"/>
      <c r="W9" s="5"/>
      <c r="X9" s="7">
        <v>3.9699999999999999E-2</v>
      </c>
      <c r="Y9" s="5"/>
      <c r="Z9" s="7">
        <v>6.3099999999999989E-2</v>
      </c>
      <c r="AA9" s="7">
        <v>1.6899999999999998E-2</v>
      </c>
      <c r="AB9" s="7">
        <v>0.22620000000000001</v>
      </c>
      <c r="AC9" s="5"/>
      <c r="AD9" s="5"/>
      <c r="AE9" s="5"/>
      <c r="AF9" s="5"/>
      <c r="AG9" s="5"/>
      <c r="AH9" s="5"/>
      <c r="AI9" s="5"/>
      <c r="AJ9" s="5"/>
      <c r="AK9" s="5"/>
      <c r="AL9" s="7">
        <v>0.13</v>
      </c>
    </row>
    <row r="10" spans="1:38" x14ac:dyDescent="0.35">
      <c r="A10" s="2" t="str">
        <f>'[1]Trading 212'!BH5</f>
        <v>Vanguard FTSE All-World High Dividend</v>
      </c>
      <c r="B10" s="2" t="s">
        <v>8</v>
      </c>
      <c r="C10" s="2" t="s">
        <v>140</v>
      </c>
      <c r="D10" s="2"/>
      <c r="E10" s="7">
        <v>0.38049999999999989</v>
      </c>
      <c r="F10" s="7">
        <v>4.0899999999999999E-2</v>
      </c>
      <c r="G10" s="7">
        <v>3.1099999999999999E-2</v>
      </c>
      <c r="H10" s="7"/>
      <c r="I10" s="7">
        <v>3.1E-2</v>
      </c>
      <c r="J10" s="7">
        <v>6.0699999999999997E-2</v>
      </c>
      <c r="K10" s="7">
        <v>1.3100000000000001E-2</v>
      </c>
      <c r="L10" s="7"/>
      <c r="M10" s="7">
        <v>3.7100000000000001E-2</v>
      </c>
      <c r="N10" s="7"/>
      <c r="O10" s="7"/>
      <c r="P10" s="7"/>
      <c r="Q10" s="7">
        <v>3.7199999999999997E-2</v>
      </c>
      <c r="R10" s="7">
        <v>1.7399999999999999E-2</v>
      </c>
      <c r="S10" s="7"/>
      <c r="T10" s="7">
        <v>1.3100000000000001E-2</v>
      </c>
      <c r="U10" s="7"/>
      <c r="V10" s="7">
        <v>1.1900000000000001E-2</v>
      </c>
      <c r="W10" s="7"/>
      <c r="X10" s="7">
        <v>3.2899999999999999E-2</v>
      </c>
      <c r="Y10" s="7">
        <v>2.1299999999999999E-2</v>
      </c>
      <c r="Z10" s="7">
        <v>1.0200000000000001E-2</v>
      </c>
      <c r="AA10" s="7">
        <v>1.26E-2</v>
      </c>
      <c r="AB10" s="7">
        <v>8.900000000000001E-2</v>
      </c>
      <c r="AC10" s="7"/>
      <c r="AD10" s="7"/>
      <c r="AE10" s="7"/>
      <c r="AF10" s="7">
        <v>1.0699999999999999E-2</v>
      </c>
      <c r="AG10" s="7"/>
      <c r="AH10" s="7"/>
      <c r="AI10" s="7"/>
      <c r="AJ10" s="7"/>
      <c r="AK10" s="7"/>
      <c r="AL10" s="7">
        <v>0.14929999999999999</v>
      </c>
    </row>
    <row r="11" spans="1:38" x14ac:dyDescent="0.35">
      <c r="A11" s="2" t="str">
        <f>[1]IBKR!BK6</f>
        <v>Xtrackers MSCI Mexico</v>
      </c>
      <c r="B11" s="2" t="s">
        <v>9</v>
      </c>
      <c r="C11" s="2" t="s">
        <v>141</v>
      </c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0.89219999999999999</v>
      </c>
      <c r="AH11" s="5"/>
      <c r="AI11" s="5"/>
      <c r="AJ11" s="5"/>
      <c r="AK11" s="5"/>
      <c r="AL11" s="5">
        <v>0.10780000000000001</v>
      </c>
    </row>
    <row r="12" spans="1:38" x14ac:dyDescent="0.35">
      <c r="A12" s="2" t="str">
        <f>[1]IBKR!BH6</f>
        <v>Xtrackers MSCI World</v>
      </c>
      <c r="B12" s="2" t="s">
        <v>10</v>
      </c>
      <c r="C12" s="2" t="s">
        <v>142</v>
      </c>
      <c r="D12" s="2"/>
      <c r="E12" s="7">
        <v>0.67269999999999996</v>
      </c>
      <c r="F12" s="7">
        <v>3.2300000000000002E-2</v>
      </c>
      <c r="G12" s="5"/>
      <c r="H12" s="7">
        <v>1.3100000000000001E-2</v>
      </c>
      <c r="I12" s="7">
        <v>2.3900000000000001E-2</v>
      </c>
      <c r="J12" s="7">
        <v>3.5200000000000002E-2</v>
      </c>
      <c r="K12" s="5"/>
      <c r="L12" s="5"/>
      <c r="M12" s="7">
        <v>2.4400000000000002E-2</v>
      </c>
      <c r="N12" s="5"/>
      <c r="O12" s="5"/>
      <c r="P12" s="5"/>
      <c r="Q12" s="7">
        <v>2.12E-2</v>
      </c>
      <c r="R12" s="5"/>
      <c r="S12" s="5"/>
      <c r="T12" s="5"/>
      <c r="U12" s="5"/>
      <c r="V12" s="7">
        <v>1.61E-2</v>
      </c>
      <c r="W12" s="5"/>
      <c r="X12" s="7">
        <v>1.7500000000000002E-2</v>
      </c>
      <c r="Y12" s="5"/>
      <c r="Z12" s="5"/>
      <c r="AA12" s="5"/>
      <c r="AB12" s="7">
        <v>5.7699999999999987E-2</v>
      </c>
      <c r="AC12" s="5"/>
      <c r="AD12" s="5"/>
      <c r="AE12" s="5"/>
      <c r="AF12" s="5"/>
      <c r="AG12" s="5"/>
      <c r="AH12" s="5"/>
      <c r="AI12" s="5"/>
      <c r="AJ12" s="5"/>
      <c r="AK12" s="5"/>
      <c r="AL12" s="7">
        <v>8.5900000000000004E-2</v>
      </c>
    </row>
    <row r="13" spans="1:38" x14ac:dyDescent="0.35">
      <c r="A13" t="s">
        <v>143</v>
      </c>
      <c r="B13" t="s">
        <v>11</v>
      </c>
      <c r="C13" s="11" t="s">
        <v>146</v>
      </c>
      <c r="D13" s="16"/>
    </row>
    <row r="14" spans="1:38" ht="14.9" customHeight="1" x14ac:dyDescent="0.35">
      <c r="A14" t="s">
        <v>145</v>
      </c>
      <c r="B14" t="s">
        <v>12</v>
      </c>
      <c r="C14" s="11" t="s">
        <v>144</v>
      </c>
      <c r="D14" s="16"/>
      <c r="L14" s="1"/>
      <c r="M14" s="10"/>
      <c r="V14" s="1"/>
      <c r="W14" s="10"/>
    </row>
    <row r="15" spans="1:38" ht="14.9" customHeight="1" x14ac:dyDescent="0.35">
      <c r="L15" s="1"/>
      <c r="M15" s="10"/>
      <c r="V15" s="1"/>
      <c r="W15" s="10"/>
    </row>
    <row r="16" spans="1:38" ht="14.9" customHeight="1" x14ac:dyDescent="0.35">
      <c r="L16" s="1"/>
      <c r="M16" s="10"/>
      <c r="V16" s="1"/>
      <c r="W16" s="10"/>
    </row>
    <row r="17" spans="12:23" ht="14.9" customHeight="1" x14ac:dyDescent="0.35">
      <c r="L17" s="1"/>
      <c r="M17" s="10"/>
      <c r="V17" s="1"/>
      <c r="W17" s="10"/>
    </row>
    <row r="18" spans="12:23" ht="14.9" customHeight="1" x14ac:dyDescent="0.35">
      <c r="L18" s="1"/>
      <c r="M18" s="10"/>
      <c r="V18" s="1"/>
      <c r="W18" s="10"/>
    </row>
    <row r="19" spans="12:23" ht="14.9" customHeight="1" x14ac:dyDescent="0.35">
      <c r="L19" s="1"/>
      <c r="M19" s="10"/>
      <c r="V19" s="1"/>
      <c r="W19" s="10"/>
    </row>
    <row r="20" spans="12:23" ht="14.9" customHeight="1" x14ac:dyDescent="0.35">
      <c r="L20" s="1"/>
      <c r="M20" s="10"/>
      <c r="V20" s="1"/>
    </row>
    <row r="21" spans="12:23" ht="14.9" customHeight="1" x14ac:dyDescent="0.35">
      <c r="L21" s="1"/>
      <c r="M21" s="10"/>
    </row>
    <row r="22" spans="12:23" ht="14.9" customHeight="1" x14ac:dyDescent="0.35">
      <c r="L22" s="1"/>
      <c r="M22" s="10"/>
    </row>
    <row r="23" spans="12:23" ht="14.9" customHeight="1" x14ac:dyDescent="0.35">
      <c r="L23" s="1"/>
      <c r="M23" s="10"/>
    </row>
    <row r="24" spans="12:23" ht="14.9" customHeight="1" x14ac:dyDescent="0.35">
      <c r="L24" s="1"/>
      <c r="M24" s="10"/>
    </row>
    <row r="25" spans="12:23" ht="14.9" customHeight="1" x14ac:dyDescent="0.35">
      <c r="L25" s="1"/>
      <c r="M25" s="10"/>
    </row>
    <row r="26" spans="12:23" ht="14.9" customHeight="1" x14ac:dyDescent="0.35">
      <c r="L26" s="1"/>
      <c r="M26" s="10"/>
    </row>
    <row r="27" spans="12:23" ht="14.9" customHeight="1" x14ac:dyDescent="0.35">
      <c r="L27" s="1"/>
      <c r="M27" s="10"/>
    </row>
    <row r="28" spans="12:23" ht="14.9" customHeight="1" x14ac:dyDescent="0.35">
      <c r="L28" s="1"/>
      <c r="M28" s="10"/>
    </row>
    <row r="29" spans="12:23" ht="14.9" customHeight="1" x14ac:dyDescent="0.35">
      <c r="L29" s="1"/>
      <c r="M29" s="10"/>
    </row>
    <row r="30" spans="12:23" ht="14.9" customHeight="1" x14ac:dyDescent="0.35">
      <c r="L30" s="1"/>
      <c r="M30" s="10"/>
    </row>
    <row r="31" spans="12:23" ht="14.9" customHeight="1" x14ac:dyDescent="0.35">
      <c r="L31" s="1"/>
      <c r="M31" s="10"/>
    </row>
    <row r="32" spans="12:23" ht="14.9" customHeight="1" x14ac:dyDescent="0.35">
      <c r="L32" s="1"/>
      <c r="M32" s="10"/>
    </row>
    <row r="33" spans="12:13" ht="14.9" customHeight="1" x14ac:dyDescent="0.35">
      <c r="L33" s="1"/>
      <c r="M33" s="10"/>
    </row>
    <row r="34" spans="12:13" ht="14.9" customHeight="1" x14ac:dyDescent="0.35">
      <c r="L34" s="1"/>
      <c r="M34" s="10"/>
    </row>
    <row r="35" spans="12:13" ht="14.9" customHeight="1" x14ac:dyDescent="0.35">
      <c r="L35" s="1"/>
      <c r="M35" s="10"/>
    </row>
    <row r="36" spans="12:13" ht="14.9" customHeight="1" x14ac:dyDescent="0.35">
      <c r="L36" s="1"/>
      <c r="M36" s="10"/>
    </row>
    <row r="37" spans="12:13" ht="14.9" customHeight="1" x14ac:dyDescent="0.35">
      <c r="L37" s="1"/>
      <c r="M37" s="10"/>
    </row>
    <row r="38" spans="12:13" ht="14.9" customHeight="1" x14ac:dyDescent="0.35">
      <c r="L38" s="1"/>
      <c r="M38" s="10"/>
    </row>
    <row r="39" spans="12:13" ht="14.9" customHeight="1" x14ac:dyDescent="0.35">
      <c r="L39" s="1"/>
    </row>
    <row r="40" spans="12:13" ht="14.9" customHeight="1" x14ac:dyDescent="0.35">
      <c r="L40" s="1"/>
    </row>
    <row r="41" spans="12:13" ht="14.9" customHeight="1" x14ac:dyDescent="0.35"/>
    <row r="42" spans="12:13" ht="14.9" customHeight="1" x14ac:dyDescent="0.35"/>
    <row r="43" spans="12:13" ht="14.9" customHeight="1" x14ac:dyDescent="0.35"/>
    <row r="44" spans="12:13" ht="14.9" customHeight="1" x14ac:dyDescent="0.35"/>
    <row r="45" spans="12:13" ht="14.9" customHeight="1" x14ac:dyDescent="0.35"/>
    <row r="46" spans="12:13" ht="14.9" customHeight="1" x14ac:dyDescent="0.35"/>
    <row r="47" spans="12:13" ht="14.9" customHeight="1" x14ac:dyDescent="0.35"/>
    <row r="48" spans="12:13" ht="14.9" customHeight="1" x14ac:dyDescent="0.35"/>
    <row r="49" ht="14.9" customHeight="1" x14ac:dyDescent="0.35"/>
    <row r="50" ht="14.9" customHeight="1" x14ac:dyDescent="0.35"/>
    <row r="51" ht="14.9" customHeight="1" x14ac:dyDescent="0.35"/>
    <row r="52" ht="14.9" customHeight="1" x14ac:dyDescent="0.35"/>
    <row r="53" ht="14.9" customHeight="1" x14ac:dyDescent="0.35"/>
    <row r="54" ht="14.9" customHeight="1" x14ac:dyDescent="0.35"/>
    <row r="55" ht="14.9" customHeight="1" x14ac:dyDescent="0.35"/>
    <row r="56" ht="14.9" customHeight="1" x14ac:dyDescent="0.35"/>
    <row r="57" ht="14.9" customHeight="1" x14ac:dyDescent="0.35"/>
    <row r="58" ht="14.9" customHeight="1" x14ac:dyDescent="0.35"/>
    <row r="59" ht="14.9" customHeight="1" x14ac:dyDescent="0.35"/>
    <row r="60" ht="14.9" customHeight="1" x14ac:dyDescent="0.35"/>
    <row r="61" ht="14.9" customHeight="1" x14ac:dyDescent="0.35"/>
    <row r="62" ht="14.9" customHeight="1" x14ac:dyDescent="0.35"/>
    <row r="63" ht="14.9" customHeight="1" x14ac:dyDescent="0.35"/>
    <row r="64" ht="14.9" customHeight="1" x14ac:dyDescent="0.35"/>
    <row r="65" ht="14.9" customHeight="1" x14ac:dyDescent="0.35"/>
    <row r="66" ht="14.9" customHeight="1" x14ac:dyDescent="0.35"/>
    <row r="67" ht="14.9" customHeight="1" x14ac:dyDescent="0.35"/>
    <row r="68" ht="14.9" customHeight="1" x14ac:dyDescent="0.35"/>
    <row r="69" ht="14.9" customHeight="1" x14ac:dyDescent="0.35"/>
    <row r="70" ht="14.9" customHeight="1" x14ac:dyDescent="0.35"/>
    <row r="71" ht="14.9" customHeight="1" x14ac:dyDescent="0.35"/>
    <row r="72" ht="14.9" customHeight="1" x14ac:dyDescent="0.35"/>
    <row r="73" ht="14.9" customHeight="1" x14ac:dyDescent="0.35"/>
    <row r="74" ht="14.9" customHeight="1" x14ac:dyDescent="0.35"/>
    <row r="75" ht="14.9" customHeight="1" x14ac:dyDescent="0.35"/>
    <row r="76" ht="14.9" customHeight="1" x14ac:dyDescent="0.35"/>
    <row r="77" ht="14.9" customHeight="1" x14ac:dyDescent="0.35"/>
    <row r="78" ht="14.9" customHeight="1" x14ac:dyDescent="0.35"/>
    <row r="79" ht="14.9" customHeight="1" x14ac:dyDescent="0.35"/>
    <row r="80" ht="14.9" customHeight="1" x14ac:dyDescent="0.35"/>
    <row r="81" ht="14.9" customHeight="1" x14ac:dyDescent="0.35"/>
    <row r="82" ht="14.9" customHeight="1" x14ac:dyDescent="0.35"/>
    <row r="83" ht="14.9" customHeight="1" x14ac:dyDescent="0.35"/>
    <row r="84" ht="14.9" customHeight="1" x14ac:dyDescent="0.35"/>
    <row r="85" ht="14.9" customHeight="1" x14ac:dyDescent="0.35"/>
    <row r="86" ht="14.9" customHeight="1" x14ac:dyDescent="0.35"/>
    <row r="87" ht="14.9" customHeight="1" x14ac:dyDescent="0.35"/>
    <row r="88" ht="14.9" customHeight="1" x14ac:dyDescent="0.35"/>
    <row r="89" ht="14.9" customHeight="1" x14ac:dyDescent="0.35"/>
    <row r="90" ht="14.9" customHeight="1" x14ac:dyDescent="0.35"/>
    <row r="91" ht="14.9" customHeight="1" x14ac:dyDescent="0.35"/>
    <row r="92" ht="14.9" customHeight="1" x14ac:dyDescent="0.35"/>
    <row r="93" ht="14.9" customHeight="1" x14ac:dyDescent="0.35"/>
    <row r="94" ht="14.9" customHeight="1" x14ac:dyDescent="0.35"/>
    <row r="95" ht="14.9" customHeight="1" x14ac:dyDescent="0.35"/>
    <row r="96" ht="14.9" customHeight="1" x14ac:dyDescent="0.35"/>
    <row r="97" ht="14.9" customHeight="1" x14ac:dyDescent="0.35"/>
    <row r="98" ht="14.9" customHeight="1" x14ac:dyDescent="0.35"/>
    <row r="99" ht="14.9" customHeight="1" x14ac:dyDescent="0.35"/>
    <row r="100" ht="14.9" customHeight="1" x14ac:dyDescent="0.35"/>
    <row r="101" ht="14.9" customHeight="1" x14ac:dyDescent="0.35"/>
    <row r="102" ht="14.9" customHeight="1" x14ac:dyDescent="0.35"/>
    <row r="103" ht="14.9" customHeight="1" x14ac:dyDescent="0.35"/>
    <row r="104" ht="14.9" customHeight="1" x14ac:dyDescent="0.35"/>
    <row r="105" ht="14.9" customHeight="1" x14ac:dyDescent="0.35"/>
    <row r="106" ht="14.9" customHeight="1" x14ac:dyDescent="0.35"/>
    <row r="107" ht="14.9" customHeight="1" x14ac:dyDescent="0.35"/>
    <row r="108" ht="14.9" customHeight="1" x14ac:dyDescent="0.35"/>
    <row r="109" ht="14.9" customHeight="1" x14ac:dyDescent="0.35"/>
    <row r="110" ht="14.9" customHeight="1" x14ac:dyDescent="0.35"/>
    <row r="111" ht="14.9" customHeight="1" x14ac:dyDescent="0.35"/>
    <row r="112" ht="14.9" customHeight="1" x14ac:dyDescent="0.35"/>
    <row r="113" ht="14.9" customHeight="1" x14ac:dyDescent="0.35"/>
    <row r="114" ht="14.9" customHeight="1" x14ac:dyDescent="0.35"/>
    <row r="115" ht="14.9" customHeight="1" x14ac:dyDescent="0.35"/>
    <row r="116" ht="14.9" customHeight="1" x14ac:dyDescent="0.35"/>
    <row r="117" ht="14.9" customHeight="1" x14ac:dyDescent="0.35"/>
    <row r="118" ht="14.9" customHeight="1" x14ac:dyDescent="0.35"/>
    <row r="119" ht="14.9" customHeight="1" x14ac:dyDescent="0.35"/>
    <row r="120" ht="14.9" customHeight="1" x14ac:dyDescent="0.35"/>
    <row r="121" ht="14.9" customHeight="1" x14ac:dyDescent="0.35"/>
    <row r="122" ht="14.9" customHeight="1" x14ac:dyDescent="0.35"/>
    <row r="123" ht="14.9" customHeight="1" x14ac:dyDescent="0.35"/>
    <row r="124" ht="14.9" customHeight="1" x14ac:dyDescent="0.35"/>
    <row r="125" ht="14.9" customHeight="1" x14ac:dyDescent="0.35"/>
    <row r="126" ht="14.9" customHeight="1" x14ac:dyDescent="0.35"/>
    <row r="127" ht="14.9" customHeight="1" x14ac:dyDescent="0.35"/>
    <row r="128" ht="14.9" customHeight="1" x14ac:dyDescent="0.35"/>
    <row r="129" ht="14.9" customHeight="1" x14ac:dyDescent="0.35"/>
    <row r="130" ht="14.9" customHeight="1" x14ac:dyDescent="0.35"/>
    <row r="131" ht="14.9" customHeight="1" x14ac:dyDescent="0.35"/>
    <row r="132" ht="14.9" customHeight="1" x14ac:dyDescent="0.35"/>
    <row r="133" ht="14.9" customHeight="1" x14ac:dyDescent="0.35"/>
    <row r="134" ht="14.9" customHeight="1" x14ac:dyDescent="0.35"/>
    <row r="135" ht="14.9" customHeight="1" x14ac:dyDescent="0.35"/>
    <row r="136" ht="14.9" customHeight="1" x14ac:dyDescent="0.35"/>
    <row r="137" ht="14.9" customHeight="1" x14ac:dyDescent="0.35"/>
    <row r="138" ht="14.9" customHeight="1" x14ac:dyDescent="0.35"/>
    <row r="139" ht="14.9" customHeight="1" x14ac:dyDescent="0.35"/>
    <row r="140" ht="14.9" customHeight="1" x14ac:dyDescent="0.35"/>
    <row r="141" ht="14.9" customHeight="1" x14ac:dyDescent="0.35"/>
    <row r="142" ht="14.9" customHeight="1" x14ac:dyDescent="0.35"/>
    <row r="143" ht="14.9" customHeight="1" x14ac:dyDescent="0.35"/>
    <row r="144" ht="14.9" customHeight="1" x14ac:dyDescent="0.35"/>
    <row r="145" ht="14.9" customHeight="1" x14ac:dyDescent="0.35"/>
    <row r="146" ht="14.9" customHeight="1" x14ac:dyDescent="0.35"/>
    <row r="147" ht="14.9" customHeight="1" x14ac:dyDescent="0.35"/>
    <row r="148" ht="14.9" customHeight="1" x14ac:dyDescent="0.35"/>
    <row r="149" ht="14.9" customHeight="1" x14ac:dyDescent="0.35"/>
    <row r="150" ht="14.9" customHeight="1" x14ac:dyDescent="0.35"/>
    <row r="151" ht="14.9" customHeight="1" x14ac:dyDescent="0.35"/>
    <row r="152" ht="14.9" customHeight="1" x14ac:dyDescent="0.35"/>
    <row r="153" ht="14.9" customHeight="1" x14ac:dyDescent="0.35"/>
    <row r="154" ht="14.9" customHeight="1" x14ac:dyDescent="0.35"/>
    <row r="155" ht="14.9" customHeight="1" x14ac:dyDescent="0.35"/>
    <row r="156" ht="14.9" customHeight="1" x14ac:dyDescent="0.35"/>
    <row r="157" ht="14.9" customHeight="1" x14ac:dyDescent="0.35"/>
    <row r="158" ht="14.9" customHeight="1" x14ac:dyDescent="0.35"/>
    <row r="159" ht="14.9" customHeight="1" x14ac:dyDescent="0.35"/>
    <row r="160" ht="14.9" customHeight="1" x14ac:dyDescent="0.35"/>
    <row r="161" ht="14.9" customHeight="1" x14ac:dyDescent="0.35"/>
    <row r="162" ht="14.9" customHeight="1" x14ac:dyDescent="0.35"/>
    <row r="163" ht="14.9" customHeight="1" x14ac:dyDescent="0.35"/>
    <row r="164" ht="14.9" customHeight="1" x14ac:dyDescent="0.35"/>
    <row r="165" ht="14.9" customHeight="1" x14ac:dyDescent="0.35"/>
    <row r="166" ht="14.9" customHeight="1" x14ac:dyDescent="0.35"/>
    <row r="167" ht="14.9" customHeight="1" x14ac:dyDescent="0.35"/>
    <row r="168" ht="14.9" customHeight="1" x14ac:dyDescent="0.35"/>
    <row r="169" ht="14.9" customHeight="1" x14ac:dyDescent="0.35"/>
    <row r="170" ht="14.9" customHeight="1" x14ac:dyDescent="0.35"/>
    <row r="171" ht="14.9" customHeight="1" x14ac:dyDescent="0.35"/>
    <row r="172" ht="14.9" customHeight="1" x14ac:dyDescent="0.35"/>
    <row r="173" ht="14.9" customHeight="1" x14ac:dyDescent="0.35"/>
    <row r="174" ht="14.9" customHeight="1" x14ac:dyDescent="0.35"/>
    <row r="175" ht="14.9" customHeight="1" x14ac:dyDescent="0.35"/>
    <row r="176" ht="14.9" customHeight="1" x14ac:dyDescent="0.35"/>
    <row r="177" ht="14.9" customHeight="1" x14ac:dyDescent="0.35"/>
    <row r="178" ht="14.9" customHeight="1" x14ac:dyDescent="0.35"/>
    <row r="179" ht="14.9" customHeight="1" x14ac:dyDescent="0.35"/>
    <row r="180" ht="14.9" customHeight="1" x14ac:dyDescent="0.35"/>
    <row r="181" ht="14.9" customHeight="1" x14ac:dyDescent="0.35"/>
    <row r="182" ht="14.9" customHeight="1" x14ac:dyDescent="0.35"/>
    <row r="183" ht="14.9" customHeight="1" x14ac:dyDescent="0.35"/>
    <row r="184" ht="14.9" customHeight="1" x14ac:dyDescent="0.35"/>
    <row r="185" ht="14.9" customHeight="1" x14ac:dyDescent="0.35"/>
    <row r="186" ht="14.9" customHeight="1" x14ac:dyDescent="0.35"/>
    <row r="187" ht="14.9" customHeight="1" x14ac:dyDescent="0.35"/>
    <row r="188" ht="14.9" customHeight="1" x14ac:dyDescent="0.35"/>
    <row r="189" ht="14.9" customHeight="1" x14ac:dyDescent="0.35"/>
    <row r="190" ht="14.9" customHeight="1" x14ac:dyDescent="0.35"/>
    <row r="191" ht="14.9" customHeight="1" x14ac:dyDescent="0.35"/>
    <row r="192" ht="14.9" customHeight="1" x14ac:dyDescent="0.35"/>
    <row r="193" ht="14.9" customHeight="1" x14ac:dyDescent="0.35"/>
    <row r="194" ht="14.9" customHeight="1" x14ac:dyDescent="0.35"/>
    <row r="195" ht="14.9" customHeight="1" x14ac:dyDescent="0.35"/>
    <row r="196" ht="14.9" customHeight="1" x14ac:dyDescent="0.35"/>
    <row r="197" ht="14.9" customHeight="1" x14ac:dyDescent="0.35"/>
    <row r="198" ht="14.9" customHeight="1" x14ac:dyDescent="0.35"/>
    <row r="199" ht="14.9" customHeight="1" x14ac:dyDescent="0.35"/>
    <row r="200" ht="14.9" customHeight="1" x14ac:dyDescent="0.35"/>
    <row r="201" ht="14.9" customHeight="1" x14ac:dyDescent="0.35"/>
    <row r="202" ht="14.9" customHeight="1" x14ac:dyDescent="0.35"/>
    <row r="203" ht="14.9" customHeight="1" x14ac:dyDescent="0.35"/>
    <row r="204" ht="14.9" customHeight="1" x14ac:dyDescent="0.35"/>
    <row r="205" ht="14.9" customHeight="1" x14ac:dyDescent="0.35"/>
    <row r="206" ht="14.9" customHeight="1" x14ac:dyDescent="0.35"/>
    <row r="207" ht="14.9" customHeight="1" x14ac:dyDescent="0.35"/>
    <row r="208" ht="14.9" customHeight="1" x14ac:dyDescent="0.35"/>
    <row r="209" ht="14.9" customHeight="1" x14ac:dyDescent="0.35"/>
    <row r="210" ht="14.9" customHeight="1" x14ac:dyDescent="0.35"/>
  </sheetData>
  <autoFilter ref="A1:AL207" xr:uid="{00000000-0009-0000-0000-000000000000}">
    <sortState xmlns:xlrd2="http://schemas.microsoft.com/office/spreadsheetml/2017/richdata2" ref="A2:AL207">
      <sortCondition ref="A1:A207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5"/>
  <sheetViews>
    <sheetView zoomScale="90" zoomScaleNormal="90" workbookViewId="0"/>
  </sheetViews>
  <sheetFormatPr defaultRowHeight="14.5" x14ac:dyDescent="0.35"/>
  <cols>
    <col min="1" max="1" width="43" customWidth="1"/>
    <col min="2" max="4" width="14.81640625" customWidth="1"/>
    <col min="5" max="16" width="9.81640625" customWidth="1"/>
  </cols>
  <sheetData>
    <row r="1" spans="1:16" x14ac:dyDescent="0.35">
      <c r="A1" s="2" t="s">
        <v>96</v>
      </c>
      <c r="B1" s="4" t="s">
        <v>97</v>
      </c>
      <c r="C1" s="4" t="s">
        <v>98</v>
      </c>
      <c r="D1" s="4" t="s">
        <v>159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154</v>
      </c>
      <c r="M1" s="4" t="s">
        <v>155</v>
      </c>
      <c r="N1" s="4" t="s">
        <v>156</v>
      </c>
      <c r="O1" s="4" t="s">
        <v>157</v>
      </c>
      <c r="P1" s="4" t="s">
        <v>158</v>
      </c>
    </row>
    <row r="2" spans="1:16" x14ac:dyDescent="0.35">
      <c r="A2" s="6" t="str">
        <f>[1]IBKR!BE6</f>
        <v>Amundi MSCI Emerging Ex China</v>
      </c>
      <c r="B2" s="8" t="s">
        <v>0</v>
      </c>
      <c r="C2" s="2" t="s">
        <v>132</v>
      </c>
      <c r="D2" s="15" t="s">
        <v>136</v>
      </c>
      <c r="E2" s="7">
        <v>0.39739999999999998</v>
      </c>
      <c r="F2" s="7">
        <v>6.6299999999999998E-2</v>
      </c>
      <c r="G2" s="7">
        <v>6.8499999999999991E-2</v>
      </c>
      <c r="H2" s="7">
        <v>4.4900000000000002E-2</v>
      </c>
      <c r="I2" s="7">
        <v>3.4799999999999998E-2</v>
      </c>
      <c r="J2" s="7">
        <v>2.0400000000000001E-2</v>
      </c>
      <c r="K2" s="7">
        <v>0.2049</v>
      </c>
      <c r="L2" s="7">
        <v>3.9699999999999999E-2</v>
      </c>
      <c r="M2" s="7">
        <v>3.1199999999999999E-2</v>
      </c>
      <c r="N2" s="7">
        <v>1.0500000000000001E-2</v>
      </c>
      <c r="O2" s="7">
        <v>2.0400000000000001E-2</v>
      </c>
      <c r="P2" s="7">
        <v>6.0999999999999999E-2</v>
      </c>
    </row>
    <row r="3" spans="1:16" x14ac:dyDescent="0.35">
      <c r="A3" s="2" t="str">
        <f>[1]SAXO!I5</f>
        <v>Amundi MSCI Semiconductors</v>
      </c>
      <c r="B3" s="2" t="s">
        <v>1</v>
      </c>
      <c r="C3" s="2" t="s">
        <v>133</v>
      </c>
      <c r="D3" s="2"/>
      <c r="E3" s="7">
        <v>0.96889999999999998</v>
      </c>
      <c r="F3" s="7"/>
      <c r="G3" s="2"/>
      <c r="H3" s="7"/>
      <c r="I3" s="7"/>
      <c r="J3" s="2"/>
      <c r="K3" s="2"/>
      <c r="L3" s="2"/>
      <c r="M3" s="2"/>
      <c r="N3" s="2"/>
      <c r="O3" s="2"/>
      <c r="P3" s="7">
        <v>3.1099999999999999E-2</v>
      </c>
    </row>
    <row r="4" spans="1:16" x14ac:dyDescent="0.35">
      <c r="A4" s="2" t="str">
        <f>[1]SAXO!L5</f>
        <v>Invesco Hydrogen Economy</v>
      </c>
      <c r="B4" s="2" t="s">
        <v>2</v>
      </c>
      <c r="C4" s="2" t="s">
        <v>134</v>
      </c>
      <c r="D4" s="2"/>
      <c r="E4" s="7">
        <v>0.16470000000000001</v>
      </c>
      <c r="F4" s="7">
        <v>0.39429999999999998</v>
      </c>
      <c r="G4" s="7">
        <v>0.26019999999999999</v>
      </c>
      <c r="H4" s="7"/>
      <c r="I4" s="7"/>
      <c r="J4" s="7"/>
      <c r="K4" s="7"/>
      <c r="L4" s="7"/>
      <c r="M4" s="7"/>
      <c r="N4" s="7"/>
      <c r="O4" s="7">
        <v>6.2100000000000002E-2</v>
      </c>
      <c r="P4" s="7">
        <v>0.1187</v>
      </c>
    </row>
    <row r="5" spans="1:16" x14ac:dyDescent="0.35">
      <c r="A5" s="2" t="str">
        <f>[1]SAXO!U5</f>
        <v>iShares Global Clean Energy Transition</v>
      </c>
      <c r="B5" s="2" t="s">
        <v>3</v>
      </c>
      <c r="C5" s="2" t="s">
        <v>135</v>
      </c>
      <c r="D5" s="2"/>
      <c r="E5" s="7">
        <v>0.14430000000000001</v>
      </c>
      <c r="F5" s="7">
        <v>0.25580000000000003</v>
      </c>
      <c r="G5" s="7">
        <v>1.5800000000000002E-2</v>
      </c>
      <c r="H5" s="7">
        <v>1.1900000000000001E-2</v>
      </c>
      <c r="I5" s="2"/>
      <c r="J5" s="2"/>
      <c r="K5" s="2"/>
      <c r="L5" s="7">
        <v>2.3999999999999998E-3</v>
      </c>
      <c r="M5" s="2"/>
      <c r="N5" s="7">
        <v>1.5E-3</v>
      </c>
      <c r="O5" s="7">
        <v>0.43480000000000002</v>
      </c>
      <c r="P5" s="7">
        <v>0.13350000000000001</v>
      </c>
    </row>
    <row r="6" spans="1:16" x14ac:dyDescent="0.35">
      <c r="A6" s="2" t="str">
        <f>[1]Sebastien!CI4</f>
        <v>iShares MSCI ex china</v>
      </c>
      <c r="B6" s="2" t="s">
        <v>4</v>
      </c>
      <c r="C6" s="2" t="s">
        <v>136</v>
      </c>
      <c r="D6" s="2"/>
      <c r="E6" s="7">
        <v>0.39739999999999998</v>
      </c>
      <c r="F6" s="7">
        <v>6.6299999999999998E-2</v>
      </c>
      <c r="G6" s="7">
        <v>6.8499999999999991E-2</v>
      </c>
      <c r="H6" s="7">
        <v>4.4900000000000002E-2</v>
      </c>
      <c r="I6" s="7">
        <v>3.4799999999999998E-2</v>
      </c>
      <c r="J6" s="7">
        <v>2.0400000000000001E-2</v>
      </c>
      <c r="K6" s="7">
        <v>0.2049</v>
      </c>
      <c r="L6" s="7">
        <v>3.9699999999999999E-2</v>
      </c>
      <c r="M6" s="7">
        <v>3.1199999999999999E-2</v>
      </c>
      <c r="N6" s="7">
        <v>1.0500000000000001E-2</v>
      </c>
      <c r="O6" s="7">
        <v>2.0400000000000001E-2</v>
      </c>
      <c r="P6" s="7">
        <v>6.0999999999999999E-2</v>
      </c>
    </row>
    <row r="7" spans="1:16" x14ac:dyDescent="0.35">
      <c r="A7" s="2" t="str">
        <f>[1]SAXO!AG5</f>
        <v>iShares S&amp;P500 Swap</v>
      </c>
      <c r="B7" s="2" t="s">
        <v>5</v>
      </c>
      <c r="C7" s="2" t="s">
        <v>137</v>
      </c>
      <c r="D7" s="15" t="s">
        <v>160</v>
      </c>
      <c r="E7" s="7">
        <v>0.33800000000000002</v>
      </c>
      <c r="F7" s="3">
        <v>8.2900000000000001E-2</v>
      </c>
      <c r="G7" s="3">
        <v>1.6E-2</v>
      </c>
      <c r="H7" s="3">
        <v>0.04</v>
      </c>
      <c r="I7" s="3">
        <v>0.10199999999999999</v>
      </c>
      <c r="J7" s="3">
        <v>9.2899999999999996E-2</v>
      </c>
      <c r="K7" s="3">
        <v>0.1014</v>
      </c>
      <c r="L7" s="3">
        <v>9.98E-2</v>
      </c>
      <c r="M7" s="3">
        <v>4.9599999999999998E-2</v>
      </c>
      <c r="N7" s="3">
        <v>1.9099999999999999E-2</v>
      </c>
      <c r="O7" s="3">
        <v>2.53E-2</v>
      </c>
      <c r="P7" s="3">
        <v>3.3000000000000002E-2</v>
      </c>
    </row>
    <row r="8" spans="1:16" x14ac:dyDescent="0.35">
      <c r="A8" s="2" t="str">
        <f>'[1]Trading 212'!AY5</f>
        <v>VanEck Space Innovators</v>
      </c>
      <c r="B8" s="2" t="s">
        <v>6</v>
      </c>
      <c r="C8" s="2" t="s">
        <v>138</v>
      </c>
      <c r="D8" s="2"/>
      <c r="E8" s="7">
        <v>0.14699999999999999</v>
      </c>
      <c r="F8" s="7">
        <v>0.188</v>
      </c>
      <c r="G8" s="2"/>
      <c r="H8" s="7"/>
      <c r="I8" s="7">
        <v>0.25490000000000002</v>
      </c>
      <c r="J8" s="2"/>
      <c r="K8" s="2"/>
      <c r="L8" s="2"/>
      <c r="M8" s="2"/>
      <c r="N8" s="2"/>
      <c r="O8" s="2"/>
      <c r="P8" s="7">
        <v>0.41010000000000002</v>
      </c>
    </row>
    <row r="9" spans="1:16" x14ac:dyDescent="0.35">
      <c r="A9" s="6" t="str">
        <f>[1]IBKR!CI6</f>
        <v>VanEck Uranium and Nuclear Technologies</v>
      </c>
      <c r="B9" s="2" t="s">
        <v>7</v>
      </c>
      <c r="C9" s="2" t="s">
        <v>139</v>
      </c>
      <c r="D9" s="2"/>
      <c r="E9" s="7">
        <v>7.9000000000000008E-3</v>
      </c>
      <c r="F9" s="7">
        <v>0.3286</v>
      </c>
      <c r="G9" s="7"/>
      <c r="H9" s="7">
        <v>0.4073</v>
      </c>
      <c r="I9" s="7"/>
      <c r="J9" s="7"/>
      <c r="K9" s="7">
        <v>6.6900000000000001E-2</v>
      </c>
      <c r="L9" s="7"/>
      <c r="M9" s="7"/>
      <c r="N9" s="7"/>
      <c r="O9" s="7"/>
      <c r="P9" s="7">
        <v>0.1893</v>
      </c>
    </row>
    <row r="10" spans="1:16" x14ac:dyDescent="0.35">
      <c r="A10" s="6" t="str">
        <f>'[1]Trading 212'!BH5</f>
        <v>Vanguard FTSE All-World High Dividend</v>
      </c>
      <c r="B10" s="2" t="s">
        <v>8</v>
      </c>
      <c r="C10" s="2" t="s">
        <v>140</v>
      </c>
      <c r="D10" s="2"/>
      <c r="E10" s="7">
        <v>6.5199999999999994E-2</v>
      </c>
      <c r="F10" s="7">
        <v>0.1124</v>
      </c>
      <c r="G10" s="7">
        <v>4.4499999999999998E-2</v>
      </c>
      <c r="H10" s="7">
        <v>9.7299999999999998E-2</v>
      </c>
      <c r="I10" s="7">
        <v>3.5799999999999998E-2</v>
      </c>
      <c r="J10" s="7">
        <v>0.1018</v>
      </c>
      <c r="K10" s="7">
        <v>0.26490000000000002</v>
      </c>
      <c r="L10" s="7">
        <v>6.9699999999999998E-2</v>
      </c>
      <c r="M10" s="7">
        <v>8.1300000000000011E-2</v>
      </c>
      <c r="N10" s="7">
        <v>7.8000000000000014E-3</v>
      </c>
      <c r="O10" s="7">
        <v>5.7099999999999998E-2</v>
      </c>
      <c r="P10" s="7">
        <v>6.2199999999999998E-2</v>
      </c>
    </row>
    <row r="11" spans="1:16" x14ac:dyDescent="0.35">
      <c r="A11" s="6" t="str">
        <f>[1]IBKR!BK6</f>
        <v>Xtrackers MSCI Mexico</v>
      </c>
      <c r="B11" s="2" t="s">
        <v>9</v>
      </c>
      <c r="C11" s="2" t="s">
        <v>141</v>
      </c>
      <c r="D11" s="2"/>
      <c r="E11" s="7"/>
      <c r="F11" s="7">
        <v>0.1449</v>
      </c>
      <c r="G11" s="7">
        <v>0.27229999999999999</v>
      </c>
      <c r="H11" s="7"/>
      <c r="I11" s="7"/>
      <c r="J11" s="7"/>
      <c r="K11" s="7">
        <v>0.14749999999999999</v>
      </c>
      <c r="L11" s="7">
        <v>0.2833</v>
      </c>
      <c r="M11" s="7"/>
      <c r="N11" s="7">
        <v>4.4200000000000003E-2</v>
      </c>
      <c r="O11" s="7"/>
      <c r="P11" s="7">
        <v>0.10780000000000001</v>
      </c>
    </row>
    <row r="12" spans="1:16" x14ac:dyDescent="0.35">
      <c r="A12" s="6" t="str">
        <f>[1]IBKR!BH6</f>
        <v>Xtrackers MSCI World</v>
      </c>
      <c r="B12" s="2" t="s">
        <v>10</v>
      </c>
      <c r="C12" s="2" t="s">
        <v>142</v>
      </c>
      <c r="D12" s="2"/>
      <c r="E12" s="7">
        <v>0.2621</v>
      </c>
      <c r="F12" s="7">
        <v>0.11</v>
      </c>
      <c r="G12" s="7">
        <v>3.1099999999999999E-2</v>
      </c>
      <c r="H12" s="7">
        <v>4.8899999999999999E-2</v>
      </c>
      <c r="I12" s="7">
        <v>8.2599999999999993E-2</v>
      </c>
      <c r="J12" s="7">
        <v>8.77E-2</v>
      </c>
      <c r="K12" s="7">
        <v>0.14549999999999999</v>
      </c>
      <c r="L12" s="7">
        <v>9.4100000000000003E-2</v>
      </c>
      <c r="M12" s="7">
        <v>5.3699999999999998E-2</v>
      </c>
      <c r="N12" s="7">
        <v>1.95E-2</v>
      </c>
      <c r="O12" s="7">
        <v>2.8500000000000001E-2</v>
      </c>
      <c r="P12" s="7">
        <v>3.6299999999999999E-2</v>
      </c>
    </row>
    <row r="13" spans="1:16" x14ac:dyDescent="0.35">
      <c r="A13" t="s">
        <v>143</v>
      </c>
      <c r="B13" t="s">
        <v>11</v>
      </c>
      <c r="C13" s="11" t="s">
        <v>146</v>
      </c>
      <c r="D13" s="16"/>
    </row>
    <row r="14" spans="1:16" x14ac:dyDescent="0.35">
      <c r="A14" t="s">
        <v>145</v>
      </c>
      <c r="B14" t="s">
        <v>12</v>
      </c>
      <c r="C14" s="11" t="s">
        <v>144</v>
      </c>
      <c r="D14" s="16"/>
    </row>
    <row r="16" spans="1:16" ht="14.9" customHeight="1" x14ac:dyDescent="0.35"/>
    <row r="17" ht="14.9" customHeight="1" x14ac:dyDescent="0.35"/>
    <row r="18" ht="14.9" customHeight="1" x14ac:dyDescent="0.35"/>
    <row r="19" ht="14.9" customHeight="1" x14ac:dyDescent="0.35"/>
    <row r="20" ht="14.9" customHeight="1" x14ac:dyDescent="0.35"/>
    <row r="21" ht="14.9" customHeight="1" x14ac:dyDescent="0.35"/>
    <row r="22" ht="14.9" customHeight="1" x14ac:dyDescent="0.35"/>
    <row r="23" ht="14.9" customHeight="1" x14ac:dyDescent="0.35"/>
    <row r="24" ht="14.9" customHeight="1" x14ac:dyDescent="0.35"/>
    <row r="25" ht="14.9" customHeight="1" x14ac:dyDescent="0.35"/>
    <row r="26" ht="14.9" customHeight="1" x14ac:dyDescent="0.35"/>
    <row r="27" ht="14.9" customHeight="1" x14ac:dyDescent="0.35"/>
    <row r="28" ht="14.9" customHeight="1" x14ac:dyDescent="0.35"/>
    <row r="29" ht="14.9" customHeight="1" x14ac:dyDescent="0.35"/>
    <row r="30" ht="14.9" customHeight="1" x14ac:dyDescent="0.35"/>
    <row r="31" ht="14.9" customHeight="1" x14ac:dyDescent="0.35"/>
    <row r="32" ht="14.9" customHeight="1" x14ac:dyDescent="0.35"/>
    <row r="33" ht="14.9" customHeight="1" x14ac:dyDescent="0.35"/>
    <row r="34" ht="14.9" customHeight="1" x14ac:dyDescent="0.35"/>
    <row r="35" ht="14.9" customHeight="1" x14ac:dyDescent="0.35"/>
    <row r="36" ht="14.9" customHeight="1" x14ac:dyDescent="0.35"/>
    <row r="37" ht="14.9" customHeight="1" x14ac:dyDescent="0.35"/>
    <row r="38" ht="14.9" customHeight="1" x14ac:dyDescent="0.35"/>
    <row r="39" ht="14.9" customHeight="1" x14ac:dyDescent="0.35"/>
    <row r="40" ht="14.9" customHeight="1" x14ac:dyDescent="0.35"/>
    <row r="41" ht="14.9" customHeight="1" x14ac:dyDescent="0.35"/>
    <row r="42" ht="14.9" customHeight="1" x14ac:dyDescent="0.35"/>
    <row r="43" ht="14.9" customHeight="1" x14ac:dyDescent="0.35"/>
    <row r="44" ht="14.9" customHeight="1" x14ac:dyDescent="0.35"/>
    <row r="45" ht="14.9" customHeight="1" x14ac:dyDescent="0.35"/>
    <row r="46" ht="14.9" customHeight="1" x14ac:dyDescent="0.35"/>
    <row r="47" ht="14.9" customHeight="1" x14ac:dyDescent="0.35"/>
    <row r="48" ht="14.9" customHeight="1" x14ac:dyDescent="0.35"/>
    <row r="49" ht="14.9" customHeight="1" x14ac:dyDescent="0.35"/>
    <row r="50" ht="14.9" customHeight="1" x14ac:dyDescent="0.35"/>
    <row r="51" ht="14.9" customHeight="1" x14ac:dyDescent="0.35"/>
    <row r="52" ht="14.9" customHeight="1" x14ac:dyDescent="0.35"/>
    <row r="53" ht="14.9" customHeight="1" x14ac:dyDescent="0.35"/>
    <row r="54" ht="14.9" customHeight="1" x14ac:dyDescent="0.35"/>
    <row r="55" ht="14.9" customHeight="1" x14ac:dyDescent="0.35"/>
    <row r="56" ht="14.9" customHeight="1" x14ac:dyDescent="0.35"/>
    <row r="57" ht="14.9" customHeight="1" x14ac:dyDescent="0.35"/>
    <row r="58" ht="14.9" customHeight="1" x14ac:dyDescent="0.35"/>
    <row r="59" ht="14.9" customHeight="1" x14ac:dyDescent="0.35"/>
    <row r="60" ht="14.9" customHeight="1" x14ac:dyDescent="0.35"/>
    <row r="61" ht="14.9" customHeight="1" x14ac:dyDescent="0.35"/>
    <row r="62" ht="14.9" customHeight="1" x14ac:dyDescent="0.35"/>
    <row r="63" ht="14.9" customHeight="1" x14ac:dyDescent="0.35"/>
    <row r="64" ht="14.9" customHeight="1" x14ac:dyDescent="0.35"/>
    <row r="65" ht="14.9" customHeight="1" x14ac:dyDescent="0.35"/>
    <row r="66" ht="14.9" customHeight="1" x14ac:dyDescent="0.35"/>
    <row r="67" ht="14.9" customHeight="1" x14ac:dyDescent="0.35"/>
    <row r="68" ht="14.9" customHeight="1" x14ac:dyDescent="0.35"/>
    <row r="69" ht="14.9" customHeight="1" x14ac:dyDescent="0.35"/>
    <row r="70" ht="14.9" customHeight="1" x14ac:dyDescent="0.35"/>
    <row r="71" ht="14.9" customHeight="1" x14ac:dyDescent="0.35"/>
    <row r="72" ht="14.9" customHeight="1" x14ac:dyDescent="0.35"/>
    <row r="73" ht="14.9" customHeight="1" x14ac:dyDescent="0.35"/>
    <row r="74" ht="14.9" customHeight="1" x14ac:dyDescent="0.35"/>
    <row r="75" ht="14.9" customHeight="1" x14ac:dyDescent="0.35"/>
    <row r="76" ht="14.9" customHeight="1" x14ac:dyDescent="0.35"/>
    <row r="77" ht="14.9" customHeight="1" x14ac:dyDescent="0.35"/>
    <row r="78" ht="14.9" customHeight="1" x14ac:dyDescent="0.35"/>
    <row r="79" ht="14.9" customHeight="1" x14ac:dyDescent="0.35"/>
    <row r="80" ht="14.9" customHeight="1" x14ac:dyDescent="0.35"/>
    <row r="81" ht="14.9" customHeight="1" x14ac:dyDescent="0.35"/>
    <row r="82" ht="14.9" customHeight="1" x14ac:dyDescent="0.35"/>
    <row r="83" ht="14.9" customHeight="1" x14ac:dyDescent="0.35"/>
    <row r="84" ht="14.9" customHeight="1" x14ac:dyDescent="0.35"/>
    <row r="85" ht="14.9" customHeight="1" x14ac:dyDescent="0.35"/>
    <row r="86" ht="14.9" customHeight="1" x14ac:dyDescent="0.35"/>
    <row r="87" ht="14.9" customHeight="1" x14ac:dyDescent="0.35"/>
    <row r="88" ht="14.9" customHeight="1" x14ac:dyDescent="0.35"/>
    <row r="89" ht="14.9" customHeight="1" x14ac:dyDescent="0.35"/>
    <row r="90" ht="14.9" customHeight="1" x14ac:dyDescent="0.35"/>
    <row r="91" ht="14.9" customHeight="1" x14ac:dyDescent="0.35"/>
    <row r="92" ht="14.9" customHeight="1" x14ac:dyDescent="0.35"/>
    <row r="93" ht="14.9" customHeight="1" x14ac:dyDescent="0.35"/>
    <row r="94" ht="14.9" customHeight="1" x14ac:dyDescent="0.35"/>
    <row r="95" ht="14.9" customHeight="1" x14ac:dyDescent="0.35"/>
    <row r="96" ht="14.9" customHeight="1" x14ac:dyDescent="0.35"/>
    <row r="97" ht="14.9" customHeight="1" x14ac:dyDescent="0.35"/>
    <row r="98" ht="14.9" customHeight="1" x14ac:dyDescent="0.35"/>
    <row r="99" ht="14.9" customHeight="1" x14ac:dyDescent="0.35"/>
    <row r="100" ht="14.9" customHeight="1" x14ac:dyDescent="0.35"/>
    <row r="101" ht="14.9" customHeight="1" x14ac:dyDescent="0.35"/>
    <row r="102" ht="14.9" customHeight="1" x14ac:dyDescent="0.35"/>
    <row r="103" ht="14.9" customHeight="1" x14ac:dyDescent="0.35"/>
    <row r="104" ht="14.9" customHeight="1" x14ac:dyDescent="0.35"/>
    <row r="105" ht="14.9" customHeight="1" x14ac:dyDescent="0.35"/>
    <row r="106" ht="14.9" customHeight="1" x14ac:dyDescent="0.35"/>
    <row r="107" ht="14.9" customHeight="1" x14ac:dyDescent="0.35"/>
    <row r="108" ht="14.9" customHeight="1" x14ac:dyDescent="0.35"/>
    <row r="109" ht="14.9" customHeight="1" x14ac:dyDescent="0.35"/>
    <row r="110" ht="14.9" customHeight="1" x14ac:dyDescent="0.35"/>
    <row r="111" ht="14.9" customHeight="1" x14ac:dyDescent="0.35"/>
    <row r="112" ht="14.9" customHeight="1" x14ac:dyDescent="0.35"/>
    <row r="113" ht="14.9" customHeight="1" x14ac:dyDescent="0.35"/>
    <row r="114" ht="14.9" customHeight="1" x14ac:dyDescent="0.35"/>
    <row r="115" ht="14.9" customHeight="1" x14ac:dyDescent="0.35"/>
    <row r="116" ht="14.9" customHeight="1" x14ac:dyDescent="0.35"/>
    <row r="117" ht="14.9" customHeight="1" x14ac:dyDescent="0.35"/>
    <row r="118" ht="14.9" customHeight="1" x14ac:dyDescent="0.35"/>
    <row r="119" ht="14.9" customHeight="1" x14ac:dyDescent="0.35"/>
    <row r="120" ht="14.9" customHeight="1" x14ac:dyDescent="0.35"/>
    <row r="121" ht="14.9" customHeight="1" x14ac:dyDescent="0.35"/>
    <row r="122" ht="14.9" customHeight="1" x14ac:dyDescent="0.35"/>
    <row r="123" ht="14.9" customHeight="1" x14ac:dyDescent="0.35"/>
    <row r="124" ht="14.9" customHeight="1" x14ac:dyDescent="0.35"/>
    <row r="125" ht="14.9" customHeight="1" x14ac:dyDescent="0.35"/>
    <row r="126" ht="14.9" customHeight="1" x14ac:dyDescent="0.35"/>
    <row r="127" ht="14.9" customHeight="1" x14ac:dyDescent="0.35"/>
    <row r="128" ht="14.9" customHeight="1" x14ac:dyDescent="0.35"/>
    <row r="129" ht="14.9" customHeight="1" x14ac:dyDescent="0.35"/>
    <row r="130" ht="14.9" customHeight="1" x14ac:dyDescent="0.35"/>
    <row r="131" ht="14.9" customHeight="1" x14ac:dyDescent="0.35"/>
    <row r="132" ht="14.9" customHeight="1" x14ac:dyDescent="0.35"/>
    <row r="133" ht="14.9" customHeight="1" x14ac:dyDescent="0.35"/>
    <row r="134" ht="14.9" customHeight="1" x14ac:dyDescent="0.35"/>
    <row r="135" ht="14.9" customHeight="1" x14ac:dyDescent="0.35"/>
    <row r="136" ht="14.9" customHeight="1" x14ac:dyDescent="0.35"/>
    <row r="137" ht="14.9" customHeight="1" x14ac:dyDescent="0.35"/>
    <row r="138" ht="14.9" customHeight="1" x14ac:dyDescent="0.35"/>
    <row r="139" ht="14.9" customHeight="1" x14ac:dyDescent="0.35"/>
    <row r="140" ht="14.9" customHeight="1" x14ac:dyDescent="0.35"/>
    <row r="141" ht="14.9" customHeight="1" x14ac:dyDescent="0.35"/>
    <row r="142" ht="14.9" customHeight="1" x14ac:dyDescent="0.35"/>
    <row r="143" ht="14.9" customHeight="1" x14ac:dyDescent="0.35"/>
    <row r="144" ht="14.9" customHeight="1" x14ac:dyDescent="0.35"/>
    <row r="145" ht="14.9" customHeight="1" x14ac:dyDescent="0.35"/>
    <row r="146" ht="14.9" customHeight="1" x14ac:dyDescent="0.35"/>
    <row r="147" ht="14.9" customHeight="1" x14ac:dyDescent="0.35"/>
    <row r="148" ht="14.9" customHeight="1" x14ac:dyDescent="0.35"/>
    <row r="149" ht="14.9" customHeight="1" x14ac:dyDescent="0.35"/>
    <row r="150" ht="14.9" customHeight="1" x14ac:dyDescent="0.35"/>
    <row r="151" ht="14.9" customHeight="1" x14ac:dyDescent="0.35"/>
    <row r="152" ht="14.9" customHeight="1" x14ac:dyDescent="0.35"/>
    <row r="153" ht="14.9" customHeight="1" x14ac:dyDescent="0.35"/>
    <row r="154" ht="14.9" customHeight="1" x14ac:dyDescent="0.35"/>
    <row r="155" ht="14.9" customHeight="1" x14ac:dyDescent="0.35"/>
    <row r="156" ht="14.9" customHeight="1" x14ac:dyDescent="0.35"/>
    <row r="157" ht="14.9" customHeight="1" x14ac:dyDescent="0.35"/>
    <row r="158" ht="14.9" customHeight="1" x14ac:dyDescent="0.35"/>
    <row r="159" ht="14.9" customHeight="1" x14ac:dyDescent="0.35"/>
    <row r="160" ht="14.9" customHeight="1" x14ac:dyDescent="0.35"/>
    <row r="161" ht="14.9" customHeight="1" x14ac:dyDescent="0.35"/>
    <row r="162" ht="14.9" customHeight="1" x14ac:dyDescent="0.35"/>
    <row r="163" ht="14.9" customHeight="1" x14ac:dyDescent="0.35"/>
    <row r="164" ht="14.9" customHeight="1" x14ac:dyDescent="0.35"/>
    <row r="165" ht="14.9" customHeight="1" x14ac:dyDescent="0.35"/>
    <row r="166" ht="14.9" customHeight="1" x14ac:dyDescent="0.35"/>
    <row r="167" ht="14.9" customHeight="1" x14ac:dyDescent="0.35"/>
    <row r="168" ht="14.9" customHeight="1" x14ac:dyDescent="0.35"/>
    <row r="169" ht="14.9" customHeight="1" x14ac:dyDescent="0.35"/>
    <row r="170" ht="14.9" customHeight="1" x14ac:dyDescent="0.35"/>
    <row r="171" ht="14.9" customHeight="1" x14ac:dyDescent="0.35"/>
    <row r="172" ht="14.9" customHeight="1" x14ac:dyDescent="0.35"/>
    <row r="173" ht="14.9" customHeight="1" x14ac:dyDescent="0.35"/>
    <row r="174" ht="14.9" customHeight="1" x14ac:dyDescent="0.35"/>
    <row r="175" ht="14.9" customHeight="1" x14ac:dyDescent="0.35"/>
    <row r="176" ht="14.9" customHeight="1" x14ac:dyDescent="0.35"/>
    <row r="177" ht="14.9" customHeight="1" x14ac:dyDescent="0.35"/>
    <row r="178" ht="14.9" customHeight="1" x14ac:dyDescent="0.35"/>
    <row r="179" ht="14.9" customHeight="1" x14ac:dyDescent="0.35"/>
    <row r="180" ht="14.9" customHeight="1" x14ac:dyDescent="0.35"/>
    <row r="181" ht="14.9" customHeight="1" x14ac:dyDescent="0.35"/>
    <row r="182" ht="14.9" customHeight="1" x14ac:dyDescent="0.35"/>
    <row r="183" ht="14.9" customHeight="1" x14ac:dyDescent="0.35"/>
    <row r="184" ht="14.9" customHeight="1" x14ac:dyDescent="0.35"/>
    <row r="185" ht="14.9" customHeight="1" x14ac:dyDescent="0.35"/>
    <row r="186" ht="14.9" customHeight="1" x14ac:dyDescent="0.35"/>
    <row r="187" ht="14.9" customHeight="1" x14ac:dyDescent="0.35"/>
    <row r="188" ht="14.9" customHeight="1" x14ac:dyDescent="0.35"/>
    <row r="189" ht="14.9" customHeight="1" x14ac:dyDescent="0.35"/>
    <row r="190" ht="14.9" customHeight="1" x14ac:dyDescent="0.35"/>
    <row r="191" ht="14.9" customHeight="1" x14ac:dyDescent="0.35"/>
    <row r="192" ht="14.9" customHeight="1" x14ac:dyDescent="0.35"/>
    <row r="193" ht="14.9" customHeight="1" x14ac:dyDescent="0.35"/>
    <row r="194" ht="14.9" customHeight="1" x14ac:dyDescent="0.35"/>
    <row r="195" ht="14.9" customHeight="1" x14ac:dyDescent="0.35"/>
    <row r="196" ht="14.9" customHeight="1" x14ac:dyDescent="0.35"/>
    <row r="197" ht="14.9" customHeight="1" x14ac:dyDescent="0.35"/>
    <row r="198" ht="14.9" customHeight="1" x14ac:dyDescent="0.35"/>
    <row r="199" ht="14.9" customHeight="1" x14ac:dyDescent="0.35"/>
    <row r="200" ht="14.9" customHeight="1" x14ac:dyDescent="0.35"/>
    <row r="201" ht="14.9" customHeight="1" x14ac:dyDescent="0.35"/>
    <row r="202" ht="14.9" customHeight="1" x14ac:dyDescent="0.35"/>
    <row r="203" ht="14.9" customHeight="1" x14ac:dyDescent="0.35"/>
    <row r="204" ht="14.9" customHeight="1" x14ac:dyDescent="0.35"/>
    <row r="205" ht="14.9" customHeight="1" x14ac:dyDescent="0.35"/>
    <row r="206" ht="14.9" customHeight="1" x14ac:dyDescent="0.35"/>
    <row r="207" ht="14.9" customHeight="1" x14ac:dyDescent="0.35"/>
    <row r="208" ht="14.9" customHeight="1" x14ac:dyDescent="0.35"/>
    <row r="209" ht="14.9" customHeight="1" x14ac:dyDescent="0.35"/>
    <row r="210" ht="14.9" customHeight="1" x14ac:dyDescent="0.35"/>
    <row r="211" ht="14.9" customHeight="1" x14ac:dyDescent="0.35"/>
    <row r="212" ht="14.9" customHeight="1" x14ac:dyDescent="0.35"/>
    <row r="213" ht="14.9" customHeight="1" x14ac:dyDescent="0.35"/>
    <row r="214" ht="14.9" customHeight="1" x14ac:dyDescent="0.35"/>
    <row r="215" ht="14.9" customHeight="1" x14ac:dyDescent="0.35"/>
  </sheetData>
  <autoFilter ref="A1:P212" xr:uid="{00000000-0009-0000-0000-000001000000}">
    <sortState xmlns:xlrd2="http://schemas.microsoft.com/office/spreadsheetml/2017/richdata2" ref="A2:P212">
      <sortCondition ref="A1:A212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6"/>
  <sheetViews>
    <sheetView workbookViewId="0">
      <selection activeCell="C8" sqref="C8"/>
    </sheetView>
  </sheetViews>
  <sheetFormatPr defaultRowHeight="14.5" x14ac:dyDescent="0.35"/>
  <cols>
    <col min="1" max="1" width="44.81640625" customWidth="1"/>
    <col min="2" max="2" width="16.453125" customWidth="1"/>
    <col min="3" max="3" width="13" bestFit="1" customWidth="1"/>
    <col min="4" max="4" width="13.81640625" bestFit="1" customWidth="1"/>
    <col min="5" max="5" width="13.1796875" bestFit="1" customWidth="1"/>
    <col min="6" max="6" width="13.453125" bestFit="1" customWidth="1"/>
    <col min="7" max="7" width="13.26953125" bestFit="1" customWidth="1"/>
    <col min="8" max="8" width="12.54296875" bestFit="1" customWidth="1"/>
    <col min="9" max="9" width="13.26953125" bestFit="1" customWidth="1"/>
    <col min="10" max="10" width="12.54296875" bestFit="1" customWidth="1"/>
    <col min="11" max="11" width="13" bestFit="1" customWidth="1"/>
    <col min="12" max="12" width="12.7265625" bestFit="1" customWidth="1"/>
    <col min="13" max="13" width="15.36328125" bestFit="1" customWidth="1"/>
    <col min="14" max="14" width="14.6328125" bestFit="1" customWidth="1"/>
  </cols>
  <sheetData>
    <row r="1" spans="1:14" x14ac:dyDescent="0.35">
      <c r="A1" s="16" t="s">
        <v>161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146</v>
      </c>
      <c r="N1" t="s">
        <v>144</v>
      </c>
    </row>
    <row r="2" spans="1:14" x14ac:dyDescent="0.35">
      <c r="A2" s="16" t="s">
        <v>162</v>
      </c>
      <c r="B2" t="s">
        <v>136</v>
      </c>
      <c r="G2" t="s">
        <v>160</v>
      </c>
    </row>
    <row r="3" spans="1:14" x14ac:dyDescent="0.35">
      <c r="A3" s="2" t="s">
        <v>97</v>
      </c>
      <c r="B3" s="12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4" t="s">
        <v>8</v>
      </c>
      <c r="K3" s="13" t="s">
        <v>9</v>
      </c>
      <c r="L3" s="13" t="s">
        <v>10</v>
      </c>
      <c r="M3" s="13" t="s">
        <v>11</v>
      </c>
      <c r="N3" s="13" t="s">
        <v>12</v>
      </c>
    </row>
    <row r="4" spans="1:14" x14ac:dyDescent="0.35">
      <c r="A4" t="s">
        <v>13</v>
      </c>
      <c r="J4">
        <v>8.8999999999999999E-3</v>
      </c>
    </row>
    <row r="5" spans="1:14" x14ac:dyDescent="0.35">
      <c r="A5" t="s">
        <v>14</v>
      </c>
      <c r="G5">
        <v>2.98E-2</v>
      </c>
      <c r="L5">
        <v>2.5499999999999998E-2</v>
      </c>
      <c r="N5">
        <v>2.29E-2</v>
      </c>
    </row>
    <row r="6" spans="1:14" x14ac:dyDescent="0.35">
      <c r="A6" t="s">
        <v>15</v>
      </c>
      <c r="G6">
        <v>2.3900000000000001E-2</v>
      </c>
      <c r="L6">
        <v>2.12E-2</v>
      </c>
      <c r="N6">
        <v>1.9099999999999999E-2</v>
      </c>
    </row>
    <row r="7" spans="1:14" x14ac:dyDescent="0.35">
      <c r="A7" t="s">
        <v>16</v>
      </c>
      <c r="G7">
        <v>3.6200000000000003E-2</v>
      </c>
      <c r="L7">
        <v>2.8199999999999999E-2</v>
      </c>
      <c r="N7">
        <v>2.8500000000000001E-2</v>
      </c>
    </row>
    <row r="8" spans="1:14" x14ac:dyDescent="0.35">
      <c r="A8" t="s">
        <v>17</v>
      </c>
      <c r="C8">
        <v>4.7600000000000003E-2</v>
      </c>
    </row>
    <row r="9" spans="1:14" x14ac:dyDescent="0.35">
      <c r="A9" t="s">
        <v>18</v>
      </c>
      <c r="K9">
        <v>0.1103</v>
      </c>
    </row>
    <row r="10" spans="1:14" x14ac:dyDescent="0.35">
      <c r="A10" t="s">
        <v>19</v>
      </c>
      <c r="G10">
        <v>6.6400000000000001E-2</v>
      </c>
      <c r="L10">
        <v>4.9700000000000001E-2</v>
      </c>
      <c r="N10">
        <v>4.6600000000000003E-2</v>
      </c>
    </row>
    <row r="11" spans="1:14" x14ac:dyDescent="0.35">
      <c r="A11" t="s">
        <v>20</v>
      </c>
      <c r="C11">
        <v>2.8000000000000001E-2</v>
      </c>
    </row>
    <row r="12" spans="1:14" x14ac:dyDescent="0.35">
      <c r="A12" t="s">
        <v>21</v>
      </c>
      <c r="K12">
        <v>2.8400000000000002E-2</v>
      </c>
    </row>
    <row r="13" spans="1:14" x14ac:dyDescent="0.35">
      <c r="A13" t="s">
        <v>22</v>
      </c>
      <c r="C13">
        <v>4.7899999999999998E-2</v>
      </c>
    </row>
    <row r="14" spans="1:14" x14ac:dyDescent="0.35">
      <c r="A14" t="s">
        <v>23</v>
      </c>
      <c r="H14">
        <v>5.6500000000000002E-2</v>
      </c>
    </row>
    <row r="15" spans="1:14" x14ac:dyDescent="0.35">
      <c r="A15" t="s">
        <v>24</v>
      </c>
      <c r="I15">
        <v>4.87E-2</v>
      </c>
    </row>
    <row r="16" spans="1:14" x14ac:dyDescent="0.35">
      <c r="A16" t="s">
        <v>25</v>
      </c>
      <c r="D16">
        <v>2.1100000000000001E-2</v>
      </c>
    </row>
    <row r="17" spans="1:14" x14ac:dyDescent="0.35">
      <c r="A17" t="s">
        <v>26</v>
      </c>
      <c r="G17">
        <v>1.5699999999999999E-2</v>
      </c>
    </row>
    <row r="18" spans="1:14" x14ac:dyDescent="0.35">
      <c r="A18" t="s">
        <v>27</v>
      </c>
      <c r="D18">
        <v>2.2599999999999999E-2</v>
      </c>
      <c r="E18">
        <v>0.13739999999999999</v>
      </c>
      <c r="M18">
        <v>0.13739999999999999</v>
      </c>
    </row>
    <row r="19" spans="1:14" x14ac:dyDescent="0.35">
      <c r="A19" t="s">
        <v>28</v>
      </c>
      <c r="C19">
        <v>0.13930000000000001</v>
      </c>
      <c r="G19">
        <v>2.6100000000000002E-2</v>
      </c>
      <c r="L19">
        <v>2.0899999999999998E-2</v>
      </c>
      <c r="N19">
        <v>2.1899999999999999E-2</v>
      </c>
    </row>
    <row r="20" spans="1:14" x14ac:dyDescent="0.35">
      <c r="A20" t="s">
        <v>29</v>
      </c>
      <c r="I20">
        <v>0.15529999999999999</v>
      </c>
    </row>
    <row r="21" spans="1:14" x14ac:dyDescent="0.35">
      <c r="A21" t="s">
        <v>30</v>
      </c>
      <c r="K21">
        <v>8.5500000000000007E-2</v>
      </c>
    </row>
    <row r="22" spans="1:14" x14ac:dyDescent="0.35">
      <c r="A22" t="s">
        <v>31</v>
      </c>
      <c r="D22">
        <v>2.3699999999999999E-2</v>
      </c>
    </row>
    <row r="23" spans="1:14" x14ac:dyDescent="0.35">
      <c r="A23" t="s">
        <v>32</v>
      </c>
      <c r="J23">
        <v>8.6E-3</v>
      </c>
    </row>
    <row r="24" spans="1:14" x14ac:dyDescent="0.35">
      <c r="A24" t="s">
        <v>33</v>
      </c>
      <c r="E24">
        <v>5.8900000000000001E-2</v>
      </c>
      <c r="M24">
        <v>5.8900000000000001E-2</v>
      </c>
    </row>
    <row r="25" spans="1:14" x14ac:dyDescent="0.35">
      <c r="A25" t="s">
        <v>34</v>
      </c>
      <c r="J25">
        <v>8.6E-3</v>
      </c>
    </row>
    <row r="26" spans="1:14" x14ac:dyDescent="0.35">
      <c r="A26" t="s">
        <v>35</v>
      </c>
      <c r="B26">
        <v>1.47E-2</v>
      </c>
      <c r="D26">
        <v>2.1499999999999998E-2</v>
      </c>
      <c r="F26">
        <v>1.47E-2</v>
      </c>
    </row>
    <row r="27" spans="1:14" x14ac:dyDescent="0.35">
      <c r="A27" t="s">
        <v>36</v>
      </c>
      <c r="H27">
        <v>6.4799999999999996E-2</v>
      </c>
    </row>
    <row r="28" spans="1:14" x14ac:dyDescent="0.35">
      <c r="A28" t="s">
        <v>37</v>
      </c>
      <c r="E28">
        <v>2.3300000000000001E-2</v>
      </c>
      <c r="M28">
        <v>2.3300000000000001E-2</v>
      </c>
    </row>
    <row r="29" spans="1:14" x14ac:dyDescent="0.35">
      <c r="A29" t="s">
        <v>38</v>
      </c>
      <c r="L29">
        <v>9.2999999999999992E-3</v>
      </c>
    </row>
    <row r="30" spans="1:14" x14ac:dyDescent="0.35">
      <c r="A30" t="s">
        <v>39</v>
      </c>
      <c r="E30">
        <v>3.2500000000000001E-2</v>
      </c>
      <c r="M30">
        <v>3.2500000000000001E-2</v>
      </c>
    </row>
    <row r="31" spans="1:14" x14ac:dyDescent="0.35">
      <c r="A31" t="s">
        <v>40</v>
      </c>
      <c r="E31">
        <v>2.87E-2</v>
      </c>
      <c r="M31">
        <v>2.87E-2</v>
      </c>
    </row>
    <row r="32" spans="1:14" x14ac:dyDescent="0.35">
      <c r="A32" t="s">
        <v>41</v>
      </c>
      <c r="J32">
        <v>1.55E-2</v>
      </c>
    </row>
    <row r="33" spans="1:13" x14ac:dyDescent="0.35">
      <c r="A33" t="s">
        <v>42</v>
      </c>
      <c r="H33">
        <v>5.6099999999999997E-2</v>
      </c>
    </row>
    <row r="34" spans="1:13" x14ac:dyDescent="0.35">
      <c r="A34" t="s">
        <v>43</v>
      </c>
      <c r="E34">
        <v>7.1599999999999997E-2</v>
      </c>
      <c r="M34">
        <v>7.1599999999999997E-2</v>
      </c>
    </row>
    <row r="35" spans="1:13" x14ac:dyDescent="0.35">
      <c r="A35" t="s">
        <v>44</v>
      </c>
      <c r="K35">
        <v>8.8999999999999996E-2</v>
      </c>
    </row>
    <row r="36" spans="1:13" x14ac:dyDescent="0.35">
      <c r="A36" t="s">
        <v>45</v>
      </c>
      <c r="I36">
        <v>5.7200000000000001E-2</v>
      </c>
    </row>
    <row r="37" spans="1:13" x14ac:dyDescent="0.35">
      <c r="A37" t="s">
        <v>46</v>
      </c>
      <c r="H37">
        <v>6.0299999999999999E-2</v>
      </c>
    </row>
    <row r="38" spans="1:13" x14ac:dyDescent="0.35">
      <c r="A38" t="s">
        <v>47</v>
      </c>
      <c r="K38">
        <v>4.4200000000000003E-2</v>
      </c>
    </row>
    <row r="39" spans="1:13" x14ac:dyDescent="0.35">
      <c r="A39" t="s">
        <v>48</v>
      </c>
      <c r="K39">
        <v>2.5000000000000001E-2</v>
      </c>
    </row>
    <row r="40" spans="1:13" x14ac:dyDescent="0.35">
      <c r="A40" t="s">
        <v>49</v>
      </c>
      <c r="K40">
        <v>0.1275</v>
      </c>
    </row>
    <row r="41" spans="1:13" x14ac:dyDescent="0.35">
      <c r="A41" t="s">
        <v>50</v>
      </c>
      <c r="K41">
        <v>0.15690000000000001</v>
      </c>
    </row>
    <row r="42" spans="1:13" x14ac:dyDescent="0.35">
      <c r="A42" t="s">
        <v>51</v>
      </c>
      <c r="B42">
        <v>1.0200000000000001E-2</v>
      </c>
      <c r="F42">
        <v>1.0200000000000001E-2</v>
      </c>
    </row>
    <row r="43" spans="1:13" x14ac:dyDescent="0.35">
      <c r="A43" t="s">
        <v>52</v>
      </c>
      <c r="I43">
        <v>4.9399999999999999E-2</v>
      </c>
    </row>
    <row r="44" spans="1:13" x14ac:dyDescent="0.35">
      <c r="A44" t="s">
        <v>53</v>
      </c>
      <c r="B44">
        <v>9.7000000000000003E-3</v>
      </c>
      <c r="F44">
        <v>9.7000000000000003E-3</v>
      </c>
    </row>
    <row r="45" spans="1:13" x14ac:dyDescent="0.35">
      <c r="A45" t="s">
        <v>54</v>
      </c>
      <c r="J45">
        <v>7.4999999999999997E-3</v>
      </c>
    </row>
    <row r="46" spans="1:13" x14ac:dyDescent="0.35">
      <c r="A46" t="s">
        <v>55</v>
      </c>
      <c r="B46">
        <v>7.7999999999999996E-3</v>
      </c>
      <c r="F46">
        <v>7.7999999999999996E-3</v>
      </c>
    </row>
    <row r="47" spans="1:13" x14ac:dyDescent="0.35">
      <c r="A47" t="s">
        <v>56</v>
      </c>
      <c r="K47">
        <v>4.6300000000000001E-2</v>
      </c>
    </row>
    <row r="48" spans="1:13" x14ac:dyDescent="0.35">
      <c r="A48" t="s">
        <v>57</v>
      </c>
      <c r="C48">
        <v>3.15E-2</v>
      </c>
    </row>
    <row r="49" spans="1:14" x14ac:dyDescent="0.35">
      <c r="A49" t="s">
        <v>58</v>
      </c>
      <c r="H49">
        <v>5.1400000000000001E-2</v>
      </c>
    </row>
    <row r="50" spans="1:14" x14ac:dyDescent="0.35">
      <c r="A50" t="s">
        <v>59</v>
      </c>
      <c r="H50">
        <v>4.3999999999999997E-2</v>
      </c>
    </row>
    <row r="51" spans="1:14" x14ac:dyDescent="0.35">
      <c r="A51" t="s">
        <v>60</v>
      </c>
      <c r="D51">
        <v>3.2300000000000002E-2</v>
      </c>
    </row>
    <row r="52" spans="1:14" x14ac:dyDescent="0.35">
      <c r="A52" t="s">
        <v>61</v>
      </c>
      <c r="I52">
        <v>4.7300000000000002E-2</v>
      </c>
    </row>
    <row r="53" spans="1:14" x14ac:dyDescent="0.35">
      <c r="A53" t="s">
        <v>62</v>
      </c>
      <c r="J53">
        <v>1.3100000000000001E-2</v>
      </c>
    </row>
    <row r="54" spans="1:14" x14ac:dyDescent="0.35">
      <c r="A54" t="s">
        <v>63</v>
      </c>
      <c r="J54">
        <v>1.72E-2</v>
      </c>
      <c r="N54">
        <v>9.9000000000000008E-3</v>
      </c>
    </row>
    <row r="55" spans="1:14" x14ac:dyDescent="0.35">
      <c r="A55" t="s">
        <v>64</v>
      </c>
      <c r="C55">
        <v>2.8500000000000001E-2</v>
      </c>
    </row>
    <row r="56" spans="1:14" x14ac:dyDescent="0.35">
      <c r="A56" t="s">
        <v>65</v>
      </c>
      <c r="B56">
        <v>1.4E-2</v>
      </c>
      <c r="F56">
        <v>1.4E-2</v>
      </c>
    </row>
    <row r="57" spans="1:14" x14ac:dyDescent="0.35">
      <c r="A57" t="s">
        <v>66</v>
      </c>
      <c r="G57">
        <v>2.23E-2</v>
      </c>
      <c r="L57">
        <v>1.49E-2</v>
      </c>
      <c r="N57">
        <v>1.67E-2</v>
      </c>
    </row>
    <row r="58" spans="1:14" x14ac:dyDescent="0.35">
      <c r="A58" t="s">
        <v>67</v>
      </c>
      <c r="C58">
        <v>4.7E-2</v>
      </c>
    </row>
    <row r="59" spans="1:14" x14ac:dyDescent="0.35">
      <c r="A59" t="s">
        <v>68</v>
      </c>
      <c r="G59">
        <v>4.9000000000000002E-2</v>
      </c>
      <c r="L59">
        <v>3.3300000000000003E-2</v>
      </c>
      <c r="N59">
        <v>3.4099999999999998E-2</v>
      </c>
    </row>
    <row r="60" spans="1:14" x14ac:dyDescent="0.35">
      <c r="A60" t="s">
        <v>69</v>
      </c>
      <c r="I60">
        <v>4.9200000000000001E-2</v>
      </c>
    </row>
    <row r="61" spans="1:14" x14ac:dyDescent="0.35">
      <c r="A61" t="s">
        <v>70</v>
      </c>
      <c r="I61">
        <v>6.9500000000000006E-2</v>
      </c>
    </row>
    <row r="62" spans="1:14" x14ac:dyDescent="0.35">
      <c r="A62" t="s">
        <v>71</v>
      </c>
      <c r="E62">
        <v>7.2800000000000004E-2</v>
      </c>
      <c r="M62">
        <v>7.2800000000000004E-2</v>
      </c>
    </row>
    <row r="63" spans="1:14" x14ac:dyDescent="0.35">
      <c r="A63" t="s">
        <v>72</v>
      </c>
      <c r="C63">
        <v>0.25650000000000001</v>
      </c>
      <c r="G63">
        <v>7.5499999999999998E-2</v>
      </c>
      <c r="L63">
        <v>6.0699999999999997E-2</v>
      </c>
      <c r="N63">
        <v>5.6300000000000003E-2</v>
      </c>
    </row>
    <row r="64" spans="1:14" x14ac:dyDescent="0.35">
      <c r="A64" t="s">
        <v>73</v>
      </c>
      <c r="I64">
        <v>7.6899999999999996E-2</v>
      </c>
    </row>
    <row r="65" spans="1:14" x14ac:dyDescent="0.35">
      <c r="A65" t="s">
        <v>74</v>
      </c>
      <c r="G65">
        <v>0.63650000000000007</v>
      </c>
    </row>
    <row r="66" spans="1:14" x14ac:dyDescent="0.35">
      <c r="A66" t="s">
        <v>75</v>
      </c>
      <c r="D66">
        <v>2.2700000000000001E-2</v>
      </c>
      <c r="E66">
        <v>3.2800000000000003E-2</v>
      </c>
      <c r="M66">
        <v>3.2800000000000003E-2</v>
      </c>
    </row>
    <row r="67" spans="1:14" x14ac:dyDescent="0.35">
      <c r="A67" t="s">
        <v>76</v>
      </c>
      <c r="J67">
        <v>8.2000000000000007E-3</v>
      </c>
    </row>
    <row r="68" spans="1:14" x14ac:dyDescent="0.35">
      <c r="A68" t="s">
        <v>77</v>
      </c>
      <c r="B68">
        <v>1.01E-2</v>
      </c>
      <c r="F68">
        <v>1.01E-2</v>
      </c>
    </row>
    <row r="69" spans="1:14" x14ac:dyDescent="0.35">
      <c r="A69" t="s">
        <v>78</v>
      </c>
      <c r="H69">
        <v>7.7399999999999997E-2</v>
      </c>
    </row>
    <row r="70" spans="1:14" x14ac:dyDescent="0.35">
      <c r="A70" t="s">
        <v>79</v>
      </c>
      <c r="I70">
        <v>5.0500000000000003E-2</v>
      </c>
    </row>
    <row r="71" spans="1:14" x14ac:dyDescent="0.35">
      <c r="A71" t="s">
        <v>80</v>
      </c>
      <c r="B71">
        <v>7.7899999999999997E-2</v>
      </c>
      <c r="F71">
        <v>7.7899999999999997E-2</v>
      </c>
    </row>
    <row r="72" spans="1:14" x14ac:dyDescent="0.35">
      <c r="A72" t="s">
        <v>81</v>
      </c>
      <c r="B72">
        <v>9.7999999999999997E-3</v>
      </c>
      <c r="F72">
        <v>9.7999999999999997E-3</v>
      </c>
    </row>
    <row r="73" spans="1:14" x14ac:dyDescent="0.35">
      <c r="A73" t="s">
        <v>82</v>
      </c>
      <c r="B73">
        <v>5.2499999999999998E-2</v>
      </c>
      <c r="C73">
        <v>3.7900000000000003E-2</v>
      </c>
      <c r="F73">
        <v>5.2499999999999998E-2</v>
      </c>
    </row>
    <row r="74" spans="1:14" x14ac:dyDescent="0.35">
      <c r="A74" t="s">
        <v>83</v>
      </c>
      <c r="H74">
        <v>4.6199999999999998E-2</v>
      </c>
    </row>
    <row r="75" spans="1:14" x14ac:dyDescent="0.35">
      <c r="A75" t="s">
        <v>84</v>
      </c>
      <c r="D75">
        <v>2.0299999999999999E-2</v>
      </c>
    </row>
    <row r="76" spans="1:14" x14ac:dyDescent="0.35">
      <c r="A76" t="s">
        <v>85</v>
      </c>
      <c r="I76">
        <v>6.1600000000000002E-2</v>
      </c>
    </row>
    <row r="77" spans="1:14" x14ac:dyDescent="0.35">
      <c r="A77" t="s">
        <v>86</v>
      </c>
      <c r="E77">
        <v>2.3599999999999999E-2</v>
      </c>
      <c r="M77">
        <v>2.3599999999999999E-2</v>
      </c>
    </row>
    <row r="78" spans="1:14" x14ac:dyDescent="0.35">
      <c r="A78" t="s">
        <v>87</v>
      </c>
      <c r="B78">
        <v>0.18390000000000001</v>
      </c>
      <c r="C78">
        <v>0.14430000000000001</v>
      </c>
      <c r="F78">
        <v>0.18390000000000001</v>
      </c>
    </row>
    <row r="79" spans="1:14" x14ac:dyDescent="0.35">
      <c r="A79" t="s">
        <v>88</v>
      </c>
      <c r="D79">
        <v>2.0400000000000001E-2</v>
      </c>
    </row>
    <row r="80" spans="1:14" x14ac:dyDescent="0.35">
      <c r="A80" t="s">
        <v>89</v>
      </c>
      <c r="G80">
        <v>1.8599999999999998E-2</v>
      </c>
      <c r="L80">
        <v>1.29E-2</v>
      </c>
      <c r="N80">
        <v>1.23E-2</v>
      </c>
    </row>
    <row r="81" spans="1:13" x14ac:dyDescent="0.35">
      <c r="A81" t="s">
        <v>90</v>
      </c>
      <c r="J81">
        <v>7.7999999999999996E-3</v>
      </c>
    </row>
    <row r="82" spans="1:13" x14ac:dyDescent="0.35">
      <c r="A82" t="s">
        <v>91</v>
      </c>
      <c r="J82">
        <v>8.0000000000000002E-3</v>
      </c>
    </row>
    <row r="83" spans="1:13" x14ac:dyDescent="0.35">
      <c r="A83" t="s">
        <v>92</v>
      </c>
      <c r="D83">
        <v>2.01E-2</v>
      </c>
    </row>
    <row r="84" spans="1:13" x14ac:dyDescent="0.35">
      <c r="A84" t="s">
        <v>93</v>
      </c>
      <c r="E84">
        <v>3.3599999999999998E-2</v>
      </c>
      <c r="M84">
        <v>3.3599999999999998E-2</v>
      </c>
    </row>
    <row r="85" spans="1:13" x14ac:dyDescent="0.35">
      <c r="A85" t="s">
        <v>94</v>
      </c>
      <c r="H85">
        <v>7.1900000000000006E-2</v>
      </c>
    </row>
    <row r="86" spans="1:13" x14ac:dyDescent="0.35">
      <c r="A86" t="s">
        <v>95</v>
      </c>
      <c r="K86">
        <v>7.6600000000000001E-2</v>
      </c>
    </row>
  </sheetData>
  <autoFilter ref="A3:N8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country</vt:lpstr>
      <vt:lpstr>by sector</vt:lpstr>
      <vt:lpstr>TOP 10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MILLET</dc:creator>
  <cp:lastModifiedBy>Sebastien MILLET</cp:lastModifiedBy>
  <dcterms:created xsi:type="dcterms:W3CDTF">2026-05-17T12:18:26Z</dcterms:created>
  <dcterms:modified xsi:type="dcterms:W3CDTF">2026-06-20T15:05:32Z</dcterms:modified>
</cp:coreProperties>
</file>